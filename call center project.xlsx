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hidePivotFieldList="1"/>
  <mc:AlternateContent xmlns:mc="http://schemas.openxmlformats.org/markup-compatibility/2006">
    <mc:Choice Requires="x15">
      <x15ac:absPath xmlns:x15ac="http://schemas.microsoft.com/office/spreadsheetml/2010/11/ac" url="C:\Users\kumar\OneDrive\Desktop\"/>
    </mc:Choice>
  </mc:AlternateContent>
  <xr:revisionPtr revIDLastSave="0" documentId="8_{791267E6-7648-4DA2-9A16-D7C0120FB442}" xr6:coauthVersionLast="47" xr6:coauthVersionMax="47" xr10:uidLastSave="{00000000-0000-0000-0000-000000000000}"/>
  <bookViews>
    <workbookView xWindow="-108" yWindow="-108" windowWidth="23256" windowHeight="12456" activeTab="1" xr2:uid="{26D4546B-D2A1-4444-8EAF-A6228F96F0C1}"/>
  </bookViews>
  <sheets>
    <sheet name="pivot" sheetId="7" r:id="rId1"/>
    <sheet name="Sheet1" sheetId="5" r:id="rId2"/>
    <sheet name="Data" sheetId="2" r:id="rId3"/>
    <sheet name="Assets" sheetId="4" r:id="rId4"/>
  </sheets>
  <definedNames>
    <definedName name="_xlnm._FilterDatabase" localSheetId="2" hidden="1">Data!$B$3:$H$1003</definedName>
    <definedName name="_xlcn.WorksheetConnection_sampledataexcelportfolioproject.xlsxcalls" hidden="1">calls[]</definedName>
    <definedName name="_xlcn.WorksheetConnection_sampledataexcelportfolioproject.xlsxcustomers" hidden="1">customers[]</definedName>
    <definedName name="Slicer_Representative">#N/A</definedName>
  </definedNames>
  <calcPr calcId="191029"/>
  <pivotCaches>
    <pivotCache cacheId="0" r:id="rId5"/>
    <pivotCache cacheId="1" r:id="rId6"/>
    <pivotCache cacheId="117" r:id="rId7"/>
    <pivotCache cacheId="120" r:id="rId8"/>
    <pivotCache cacheId="123" r:id="rId9"/>
    <pivotCache cacheId="126" r:id="rId10"/>
    <pivotCache cacheId="129" r:id="rId11"/>
    <pivotCache cacheId="132" r:id="rId12"/>
    <pivotCache cacheId="135"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L1003" i="2" l="1"/>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W38" i="5"/>
  <c r="V38" i="5"/>
  <c r="U38" i="5"/>
  <c r="T38" i="5"/>
  <c r="S38" i="5"/>
  <c r="R38" i="5"/>
  <c r="Q38" i="5"/>
  <c r="W37" i="5"/>
  <c r="V37" i="5"/>
  <c r="U37" i="5"/>
  <c r="T37" i="5"/>
  <c r="S37" i="5"/>
  <c r="R37" i="5"/>
  <c r="Q37" i="5"/>
  <c r="W36" i="5"/>
  <c r="V36" i="5"/>
  <c r="U36" i="5"/>
  <c r="T36" i="5"/>
  <c r="S36" i="5"/>
  <c r="R36" i="5"/>
  <c r="Q36" i="5"/>
  <c r="W35" i="5"/>
  <c r="V35" i="5"/>
  <c r="U35" i="5"/>
  <c r="T35" i="5"/>
  <c r="S35" i="5"/>
  <c r="R35" i="5"/>
  <c r="Q35" i="5"/>
  <c r="W34" i="5"/>
  <c r="V34" i="5"/>
  <c r="U34" i="5"/>
  <c r="T34" i="5"/>
  <c r="S34" i="5"/>
  <c r="R34" i="5"/>
  <c r="Q34" i="5"/>
  <c r="Q33" i="5"/>
  <c r="W32" i="5"/>
  <c r="V32" i="5"/>
  <c r="U32" i="5"/>
  <c r="T32" i="5"/>
  <c r="S32" i="5"/>
  <c r="R32" i="5"/>
  <c r="Q32" i="5"/>
  <c r="W31" i="5"/>
  <c r="V31" i="5"/>
  <c r="U31" i="5"/>
  <c r="T31" i="5"/>
  <c r="S31" i="5"/>
  <c r="R31" i="5"/>
  <c r="Q31" i="5"/>
  <c r="W30" i="5"/>
  <c r="V30" i="5"/>
  <c r="U30" i="5"/>
  <c r="T30" i="5"/>
  <c r="S30" i="5"/>
  <c r="R30" i="5"/>
  <c r="Q30" i="5"/>
  <c r="W29" i="5"/>
  <c r="V29" i="5"/>
  <c r="U29" i="5"/>
  <c r="T29" i="5"/>
  <c r="S29" i="5"/>
  <c r="R29" i="5"/>
  <c r="Q29" i="5"/>
  <c r="W28" i="5"/>
  <c r="V28" i="5"/>
  <c r="U28" i="5"/>
  <c r="T28" i="5"/>
  <c r="S28" i="5"/>
  <c r="R28" i="5"/>
  <c r="Q28" i="5"/>
  <c r="W27" i="5"/>
  <c r="V27" i="5"/>
  <c r="U27" i="5"/>
  <c r="T27" i="5"/>
  <c r="S27" i="5"/>
  <c r="R27" i="5"/>
  <c r="Q27" i="5"/>
  <c r="Q26" i="5"/>
  <c r="W25" i="5"/>
  <c r="V25" i="5"/>
  <c r="U25" i="5"/>
  <c r="T25" i="5"/>
  <c r="S25" i="5"/>
  <c r="R25" i="5"/>
  <c r="Q25" i="5"/>
  <c r="W24" i="5"/>
  <c r="V24" i="5"/>
  <c r="U24" i="5"/>
  <c r="T24" i="5"/>
  <c r="S24" i="5"/>
  <c r="R24" i="5"/>
  <c r="Q24" i="5"/>
  <c r="W23" i="5"/>
  <c r="V23" i="5"/>
  <c r="U23" i="5"/>
  <c r="T23" i="5"/>
  <c r="S23" i="5"/>
  <c r="R23" i="5"/>
  <c r="Q23" i="5"/>
  <c r="W22" i="5"/>
  <c r="V22" i="5"/>
  <c r="U22" i="5"/>
  <c r="T22" i="5"/>
  <c r="S22" i="5"/>
  <c r="R22" i="5"/>
  <c r="Q22" i="5"/>
  <c r="Q21" i="5"/>
  <c r="V19" i="5"/>
  <c r="U19" i="5"/>
  <c r="T19" i="5"/>
  <c r="S19" i="5"/>
  <c r="R19" i="5"/>
  <c r="I124" i="7"/>
  <c r="I123" i="7"/>
  <c r="I122" i="7"/>
  <c r="I121" i="7"/>
  <c r="I120" i="7"/>
  <c r="I119" i="7"/>
  <c r="I118" i="7"/>
  <c r="I117" i="7"/>
  <c r="I116" i="7"/>
  <c r="I115" i="7"/>
  <c r="I114" i="7"/>
  <c r="I113" i="7"/>
  <c r="I112" i="7"/>
  <c r="I111" i="7"/>
  <c r="I110" i="7"/>
  <c r="I109" i="7"/>
  <c r="I108" i="7"/>
  <c r="O107" i="7"/>
  <c r="N107" i="7"/>
  <c r="M107" i="7"/>
  <c r="L107" i="7"/>
  <c r="K107" i="7"/>
  <c r="J107" i="7"/>
  <c r="I107" i="7"/>
  <c r="O106" i="7"/>
  <c r="N106" i="7"/>
  <c r="M106" i="7"/>
  <c r="L106" i="7"/>
  <c r="K106" i="7"/>
  <c r="J106" i="7"/>
  <c r="I106" i="7"/>
  <c r="G56" i="7"/>
  <c r="F56" i="7"/>
  <c r="E56" i="7"/>
  <c r="G55" i="7"/>
  <c r="F55" i="7"/>
  <c r="E55" i="7"/>
  <c r="G54" i="7"/>
  <c r="F54" i="7"/>
  <c r="E54" i="7"/>
  <c r="G53" i="7"/>
  <c r="F53" i="7"/>
  <c r="E53" i="7"/>
  <c r="G52" i="7"/>
  <c r="F52" i="7"/>
  <c r="E52" i="7"/>
  <c r="I49" i="7"/>
  <c r="H55" i="7" s="1"/>
  <c r="H54" i="7" l="1"/>
  <c r="I54" i="7"/>
  <c r="I55" i="7"/>
  <c r="I56" i="7"/>
  <c r="H53" i="7"/>
  <c r="I52" i="7"/>
  <c r="I53" i="7"/>
  <c r="H52" i="7"/>
  <c r="H5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AE8027-8BC6-4B02-86B3-917A6ACD3D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EB8D7F4-87AE-474E-A39C-02EFF532DE97}"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
        </x15:connection>
      </ext>
    </extLst>
  </connection>
  <connection id="3" xr16:uid="{2998BB43-3DB0-4A77-9F1F-E9EE900A252D}"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
        </x15:connection>
      </ext>
    </extLst>
  </connection>
</connections>
</file>

<file path=xl/sharedStrings.xml><?xml version="1.0" encoding="utf-8"?>
<sst xmlns="http://schemas.openxmlformats.org/spreadsheetml/2006/main" count="3168" uniqueCount="1080">
  <si>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</si>
  <si>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</si>
  <si>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</si>
  <si>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</si>
  <si>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</si>
  <si>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</si>
  <si>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</si>
  <si>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</si>
  <si>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</si>
  <si>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</si>
  <si>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</si>
  <si>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</si>
  <si>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</si>
  <si>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</si>
  <si>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</si>
  <si>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</si>
  <si>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</si>
  <si>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</si>
  <si>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</si>
  <si>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</si>
  <si>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</si>
  <si>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</si>
  <si>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</si>
  <si>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</si>
  <si>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</si>
  <si>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</si>
  <si>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</si>
  <si>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</si>
  <si>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</si>
  <si>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</si>
  <si>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</si>
  <si>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</si>
  <si>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</si>
  <si>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</si>
  <si>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</si>
  <si>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</si>
  <si>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</si>
  <si>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</si>
  <si>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</si>
  <si>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</si>
  <si>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</si>
  <si>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</si>
  <si>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</si>
  <si>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</si>
  <si>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</si>
  <si>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</si>
  <si>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</si>
  <si>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</si>
  <si>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</si>
  <si>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</si>
  <si>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</si>
  <si>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</si>
  <si>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</si>
  <si>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</si>
  <si>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</si>
  <si>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</si>
  <si>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</si>
  <si>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</si>
  <si>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</si>
  <si>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</si>
  <si>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</si>
  <si>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</si>
  <si>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</si>
  <si>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</si>
  <si>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</si>
  <si>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</si>
  <si>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</si>
  <si>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</si>
  <si>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</si>
  <si>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</si>
  <si>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</si>
  <si>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</si>
  <si>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</si>
  <si>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</si>
  <si>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</si>
  <si>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</si>
  <si>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</si>
  <si>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</si>
  <si>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</si>
  <si>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</si>
  <si>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</si>
  <si>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</si>
  <si>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</si>
  <si>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</si>
  <si>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</si>
  <si>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</si>
  <si>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</si>
  <si>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</si>
  <si>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</si>
  <si>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</si>
  <si>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</si>
  <si>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</si>
  <si>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</si>
  <si>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</si>
  <si>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</si>
  <si>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</si>
  <si>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</si>
  <si>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</si>
  <si>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</si>
  <si>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</si>
  <si>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</si>
  <si>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</si>
  <si>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</si>
  <si>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</si>
  <si>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</si>
  <si>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</si>
  <si>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</si>
  <si>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</si>
  <si>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</si>
  <si>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</si>
  <si>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</si>
  <si>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</si>
  <si>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</si>
  <si>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</si>
  <si>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</si>
  <si>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</si>
  <si>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</si>
  <si>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</si>
  <si>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</si>
  <si>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</si>
  <si>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</si>
  <si>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</si>
  <si>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</si>
  <si>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</si>
  <si>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</si>
  <si>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</si>
  <si>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</si>
  <si>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</si>
  <si>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</si>
  <si>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</si>
  <si>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</si>
  <si>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</si>
  <si>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</si>
  <si>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</si>
  <si>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</si>
  <si>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</si>
  <si>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</si>
  <si>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</si>
  <si>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</si>
  <si>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</si>
  <si>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</si>
  <si>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</si>
  <si>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</si>
  <si>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</si>
  <si>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</si>
  <si>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</si>
  <si>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</si>
  <si>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</si>
  <si>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</si>
  <si>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</si>
  <si>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</si>
  <si>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</si>
  <si>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</si>
  <si>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</si>
  <si>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</si>
  <si>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</si>
  <si>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</si>
  <si>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</si>
  <si>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</si>
  <si>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</si>
  <si>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</si>
  <si>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</si>
  <si>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</si>
  <si>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</si>
  <si>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</si>
  <si>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</si>
  <si>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</si>
  <si>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</si>
  <si>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</si>
  <si>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</si>
  <si>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</si>
  <si>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</si>
  <si>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</si>
  <si>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</si>
  <si>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</si>
  <si>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</si>
  <si>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</si>
  <si>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</si>
  <si>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</si>
  <si>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</si>
  <si>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</si>
  <si>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</si>
  <si>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</si>
  <si>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</si>
  <si>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</si>
  <si>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</si>
  <si>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</si>
  <si>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</si>
  <si>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</si>
  <si>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</si>
  <si>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</si>
  <si>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</si>
  <si>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</si>
  <si>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</si>
  <si>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</si>
  <si>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</si>
  <si>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</si>
  <si>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</si>
  <si>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</si>
  <si>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</si>
  <si>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</si>
  <si>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</si>
  <si>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</si>
  <si>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</si>
  <si>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</si>
  <si>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</si>
  <si>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</si>
  <si>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</si>
  <si>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</si>
  <si>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</si>
  <si>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</si>
  <si>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</si>
  <si>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</si>
  <si>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</si>
  <si>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</si>
  <si>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</si>
  <si>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</si>
  <si>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</si>
  <si>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</si>
  <si>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</si>
  <si>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</si>
  <si>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</si>
  <si>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</si>
  <si>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</si>
  <si>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</si>
  <si>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</si>
  <si>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</si>
  <si>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</si>
  <si>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</si>
  <si>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</si>
  <si>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</si>
  <si>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</si>
  <si>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</si>
  <si>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</si>
  <si>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</si>
  <si>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</si>
  <si>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</si>
  <si>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</si>
  <si>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</si>
  <si>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</si>
  <si>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</si>
  <si>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</si>
  <si>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</si>
  <si>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</si>
  <si>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</si>
  <si>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</si>
  <si>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</si>
  <si>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</si>
  <si>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</si>
  <si>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</si>
  <si>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</si>
  <si>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</si>
  <si>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</si>
  <si>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</si>
  <si>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</si>
  <si>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</si>
  <si>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</si>
  <si>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</si>
  <si>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</si>
  <si>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</si>
  <si>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</si>
  <si>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</si>
  <si>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</si>
  <si>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</si>
  <si>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</si>
  <si>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</si>
  <si>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</si>
  <si>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</si>
  <si>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</si>
  <si>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</si>
  <si>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</si>
  <si>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</si>
  <si>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</si>
  <si>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</si>
  <si>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</si>
  <si>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</si>
  <si>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</si>
  <si>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</si>
  <si>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</si>
  <si>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</si>
  <si>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</si>
  <si>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</si>
  <si>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</si>
  <si>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</si>
  <si>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</si>
  <si>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</si>
  <si>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</si>
  <si>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</si>
  <si>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</si>
  <si>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</si>
  <si>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</si>
  <si>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</si>
  <si>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</si>
  <si>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</si>
  <si>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</si>
  <si>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</si>
  <si>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</si>
  <si>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</si>
  <si>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</si>
  <si>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</si>
  <si>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</si>
  <si>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</si>
  <si>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</si>
  <si>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</si>
  <si>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</si>
  <si>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</si>
  <si>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</si>
  <si>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</si>
  <si>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</si>
  <si>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</si>
  <si>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</si>
  <si>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</si>
  <si>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</si>
  <si>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</si>
  <si>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</si>
  <si>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</si>
  <si>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</si>
  <si>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</si>
  <si>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</si>
  <si>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</si>
  <si>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</si>
  <si>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</si>
  <si>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</si>
  <si>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</si>
  <si>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</si>
  <si>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</si>
  <si>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</si>
  <si>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</si>
  <si>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</si>
  <si>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</si>
  <si>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</si>
  <si>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</si>
  <si>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</si>
  <si>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</si>
  <si>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</si>
  <si>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</si>
  <si>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</si>
  <si>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</si>
  <si>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</si>
  <si>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</si>
  <si>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</si>
  <si>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</si>
  <si>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</si>
  <si>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</si>
  <si>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</si>
  <si>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</si>
  <si>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</si>
  <si>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</si>
  <si>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</si>
  <si>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</si>
  <si>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</si>
  <si>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</si>
  <si>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</si>
  <si>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</si>
  <si>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</si>
  <si>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</si>
  <si>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</si>
  <si>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</si>
  <si>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</si>
  <si>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</si>
  <si>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</si>
  <si>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</si>
  <si>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</si>
  <si>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</si>
  <si>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</si>
  <si>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</si>
  <si>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</si>
  <si>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</si>
  <si>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</si>
  <si>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</si>
  <si>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</si>
  <si>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</si>
  <si>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</si>
  <si>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</si>
  <si>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</si>
  <si>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</si>
  <si>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</si>
  <si>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</si>
  <si>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</si>
  <si>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</si>
  <si>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</si>
  <si>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</si>
  <si>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</si>
  <si>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</si>
  <si>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</si>
  <si>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</si>
  <si>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</si>
  <si>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</si>
  <si>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</si>
  <si>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</si>
  <si>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</si>
  <si>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</si>
  <si>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</si>
  <si>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</si>
  <si>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</si>
  <si>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</si>
  <si>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</si>
  <si>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</si>
  <si>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</si>
  <si>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</si>
  <si>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</si>
  <si>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</si>
  <si>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</si>
  <si>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</si>
  <si>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</si>
  <si>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</si>
  <si>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</si>
  <si>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</si>
  <si>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</si>
  <si>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</si>
  <si>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</si>
  <si>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</si>
  <si>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</si>
  <si>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</si>
  <si>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</si>
  <si>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</si>
  <si>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</si>
  <si>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</si>
  <si>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</si>
  <si>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</si>
  <si>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</si>
  <si>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</si>
  <si>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</si>
  <si>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</si>
  <si>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</si>
  <si>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</si>
  <si>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</si>
  <si>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</si>
  <si>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</si>
  <si>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</si>
  <si>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</si>
  <si>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</si>
  <si>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</si>
  <si>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</si>
  <si>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</si>
  <si>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</si>
  <si>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</si>
  <si>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</si>
  <si>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</si>
  <si>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</si>
  <si>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</si>
  <si>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</si>
  <si>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</si>
  <si>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</si>
  <si>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</si>
  <si>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</si>
  <si>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</si>
  <si>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</si>
  <si>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</si>
  <si>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</si>
  <si>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</si>
  <si>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</si>
  <si>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</si>
  <si>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</si>
  <si>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</si>
  <si>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</si>
  <si>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</si>
  <si>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</si>
  <si>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</si>
  <si>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</si>
  <si>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</si>
  <si>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</si>
  <si>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</si>
  <si>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</si>
  <si>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</si>
  <si>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</si>
  <si>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</si>
  <si>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</si>
  <si>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</si>
  <si>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</si>
  <si>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</si>
  <si>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</si>
  <si>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</si>
  <si>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</si>
  <si>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</si>
  <si>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</si>
  <si>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</si>
  <si>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</si>
  <si>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</si>
  <si>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</si>
  <si>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</si>
  <si>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</si>
  <si>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</si>
  <si>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</si>
  <si>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</si>
  <si>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</si>
  <si>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</si>
  <si>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</si>
  <si>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</si>
  <si>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</si>
  <si>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</si>
  <si>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</si>
  <si>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</si>
  <si>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</si>
  <si>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</si>
  <si>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</si>
  <si>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</si>
  <si>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</si>
  <si>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</si>
  <si>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</si>
  <si>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</si>
  <si>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</si>
  <si>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</si>
  <si>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</si>
  <si>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</si>
  <si>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</si>
  <si>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</si>
  <si>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</si>
  <si>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</si>
  <si>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</si>
  <si>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</si>
  <si>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</si>
  <si>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</si>
  <si>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</si>
  <si>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</si>
  <si>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</si>
  <si>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</si>
  <si>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</si>
  <si>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</si>
  <si>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</si>
  <si>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</si>
  <si>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</si>
  <si>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</si>
  <si>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</si>
  <si>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</si>
  <si>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</si>
  <si>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</si>
  <si>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</si>
  <si>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</si>
  <si>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</si>
  <si>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</si>
  <si>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</si>
  <si>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</si>
  <si>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</si>
  <si>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</si>
  <si>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</si>
  <si>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</si>
  <si>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</si>
  <si>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</si>
  <si>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</si>
  <si>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</si>
  <si>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</si>
  <si>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</si>
  <si>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</si>
  <si>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</si>
  <si>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</si>
  <si>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</si>
  <si>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</si>
  <si>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</si>
  <si>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</si>
  <si>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</si>
  <si>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</si>
  <si>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</si>
  <si>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</si>
  <si>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</si>
  <si>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</si>
  <si>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</si>
  <si>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</si>
  <si>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</si>
  <si>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</si>
  <si>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</si>
  <si>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</si>
  <si>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</si>
  <si>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</si>
  <si>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</si>
  <si>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</si>
  <si>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</si>
  <si>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</si>
  <si>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</si>
  <si>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</si>
  <si>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</si>
  <si>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</si>
  <si>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</si>
  <si>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</si>
  <si>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</si>
  <si>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</si>
  <si>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</si>
  <si>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</si>
  <si>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</si>
  <si>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</si>
  <si>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</si>
  <si>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</si>
  <si>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</si>
  <si>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</si>
  <si>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</si>
  <si>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</si>
  <si>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</si>
  <si>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</si>
  <si>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</si>
  <si>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</si>
  <si>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</si>
  <si>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</si>
  <si>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</si>
  <si>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</si>
  <si>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</si>
  <si>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</si>
  <si>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</si>
  <si>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</si>
  <si>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</si>
  <si>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</si>
  <si>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</si>
  <si>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</si>
  <si>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</si>
  <si>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</si>
  <si>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</si>
  <si>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</si>
  <si>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</si>
  <si>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</si>
  <si>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</si>
  <si>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</si>
  <si>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</si>
  <si>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</si>
  <si>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</si>
  <si>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</si>
  <si>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</si>
  <si>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</si>
  <si>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</si>
  <si>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</si>
  <si>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</si>
  <si>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</si>
  <si>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</si>
  <si>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</si>
  <si>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</si>
  <si>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</si>
  <si>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</si>
  <si>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</si>
  <si>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</si>
  <si>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</si>
  <si>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</si>
  <si>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</si>
  <si>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</si>
  <si>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</si>
  <si>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</si>
  <si>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</si>
  <si>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</si>
  <si>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</si>
  <si>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</si>
  <si>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</si>
  <si>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</si>
  <si>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</si>
  <si>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</si>
  <si>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</si>
  <si>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</si>
  <si>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</si>
  <si>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</si>
  <si>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</si>
  <si>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</si>
  <si>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</si>
  <si>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</si>
  <si>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</si>
  <si>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</si>
  <si>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</si>
  <si>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</si>
  <si>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</si>
  <si>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</si>
  <si>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</si>
  <si>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</si>
  <si>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</si>
  <si>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</si>
  <si>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</si>
  <si>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</si>
  <si>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</si>
  <si>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</si>
  <si>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</si>
  <si>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</si>
  <si>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</si>
  <si>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</si>
  <si>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</si>
  <si>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</si>
  <si>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</si>
  <si>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</si>
  <si>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</si>
  <si>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</si>
  <si>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</si>
  <si>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</si>
  <si>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</si>
  <si>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</si>
  <si>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</si>
  <si>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</si>
  <si>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</si>
  <si>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</si>
  <si>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</si>
  <si>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</si>
  <si>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</si>
  <si>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</si>
  <si>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</si>
  <si>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</si>
  <si>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</si>
  <si>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</si>
  <si>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</si>
  <si>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</si>
  <si>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</si>
  <si>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</si>
  <si>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</si>
  <si>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</si>
  <si>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</si>
  <si>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</si>
  <si>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</si>
  <si>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</si>
  <si>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</si>
  <si>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</si>
  <si>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</si>
  <si>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</si>
  <si>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</si>
  <si>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</si>
  <si>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</si>
  <si>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</si>
  <si>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</si>
  <si>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</si>
  <si>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</si>
  <si>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</si>
  <si>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</si>
  <si>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</si>
  <si>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</si>
  <si>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</si>
  <si>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</si>
  <si>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</si>
  <si>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</si>
  <si>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</si>
  <si>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</si>
  <si>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</si>
  <si>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</si>
  <si>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</si>
  <si>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</si>
  <si>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</si>
  <si>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</si>
  <si>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</si>
  <si>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</si>
  <si>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</si>
  <si>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</si>
  <si>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</si>
  <si>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</si>
  <si>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</si>
  <si>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</si>
  <si>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</si>
  <si>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</si>
  <si>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</si>
  <si>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</si>
  <si>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</si>
  <si>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</si>
  <si>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</si>
  <si>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</si>
  <si>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</si>
  <si>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</si>
  <si>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</si>
  <si>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</si>
  <si>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</si>
  <si>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</si>
  <si>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</si>
  <si>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</si>
  <si>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</si>
  <si>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</si>
  <si>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</si>
  <si>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</si>
  <si>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</si>
  <si>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</si>
  <si>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</si>
  <si>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</si>
  <si>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</si>
  <si>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</si>
  <si>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</si>
  <si>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</si>
  <si>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</si>
  <si>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</si>
  <si>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</si>
  <si>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</si>
  <si>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</si>
  <si>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</si>
  <si>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</si>
  <si>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</si>
  <si>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</si>
  <si>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</si>
  <si>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</si>
  <si>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</si>
  <si>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</si>
  <si>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</si>
  <si>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</si>
  <si>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</si>
  <si>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</si>
  <si>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</si>
  <si>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</si>
  <si>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</si>
  <si>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</si>
  <si>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</si>
  <si>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</si>
  <si>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</si>
  <si>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</si>
  <si>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</si>
  <si>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</si>
  <si>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</si>
  <si>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</si>
  <si>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</si>
  <si>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</si>
  <si>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</si>
  <si>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</si>
  <si>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</si>
  <si>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</si>
  <si>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</si>
  <si>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</si>
  <si>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</si>
  <si>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</si>
  <si>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</si>
  <si>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</si>
  <si>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</si>
  <si>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</si>
  <si>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</si>
  <si>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</si>
  <si>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</si>
  <si>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</si>
  <si>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</si>
  <si>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</si>
  <si>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</si>
  <si>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</si>
  <si>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</si>
  <si>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</si>
  <si>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</si>
  <si>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</si>
  <si>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</si>
  <si>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</si>
  <si>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</si>
  <si>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</si>
  <si>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</si>
  <si>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</si>
  <si>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</si>
  <si>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</si>
  <si>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</si>
  <si>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</si>
  <si>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</si>
  <si>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</si>
  <si>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</si>
  <si>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</si>
  <si>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</si>
  <si>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</si>
  <si>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</si>
  <si>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</si>
  <si>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</si>
  <si>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</si>
  <si>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</si>
  <si>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</si>
  <si>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</si>
  <si>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</si>
  <si>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</si>
  <si>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</si>
  <si>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</si>
  <si>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</si>
  <si>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</si>
  <si>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</si>
  <si>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</si>
  <si>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</si>
  <si>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</si>
  <si>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</si>
  <si>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</si>
  <si>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</si>
  <si>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</si>
  <si>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</si>
  <si>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</si>
  <si>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</si>
  <si>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</si>
  <si>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</si>
  <si>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</si>
  <si>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</si>
  <si>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</si>
  <si>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</si>
  <si>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</si>
  <si>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</si>
  <si>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</si>
  <si>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</si>
  <si>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</si>
  <si>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</si>
  <si>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</si>
  <si>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</si>
  <si>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</si>
  <si>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</si>
  <si>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</si>
  <si>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</si>
  <si>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</si>
  <si>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</si>
  <si>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</si>
  <si>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</si>
  <si>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</si>
  <si>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</si>
  <si>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</si>
  <si>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</si>
  <si>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</si>
  <si>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</si>
  <si>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</si>
  <si>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</si>
  <si>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</si>
  <si>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</si>
  <si>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</si>
  <si>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</si>
  <si>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</si>
  <si>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</si>
  <si>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</si>
  <si>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</si>
  <si>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</si>
  <si>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</si>
  <si>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</si>
  <si>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</si>
  <si>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</si>
  <si>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</si>
  <si>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</si>
  <si>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</si>
  <si>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</si>
  <si>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</si>
  <si>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</si>
  <si>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</si>
  <si>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</si>
  <si>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</si>
  <si>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</si>
  <si>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</si>
  <si>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</si>
  <si>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</si>
  <si>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</si>
  <si>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</si>
  <si>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</si>
  <si>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</si>
  <si>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</si>
  <si>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</si>
  <si>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</si>
  <si>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</si>
  <si>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</si>
  <si>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</si>
  <si>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</si>
  <si>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</si>
  <si>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</si>
  <si>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</si>
  <si>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</si>
  <si>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</si>
  <si>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</si>
  <si>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</si>
  <si>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</si>
  <si>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</si>
  <si>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</si>
  <si>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</si>
  <si>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</si>
  <si>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</si>
  <si>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</si>
  <si>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</si>
  <si>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</si>
  <si>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</si>
  <si>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</si>
  <si>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</si>
  <si>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</si>
  <si>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</si>
  <si>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</si>
  <si>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</si>
  <si>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</si>
  <si>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</si>
  <si>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</si>
  <si>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</si>
  <si>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</si>
  <si>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</si>
  <si>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</si>
  <si>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</si>
  <si>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</si>
  <si>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</si>
  <si>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</si>
  <si>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</si>
  <si>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</si>
  <si>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</si>
  <si>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</si>
  <si>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</si>
  <si>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</si>
  <si>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</si>
  <si>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</si>
  <si>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</si>
  <si>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</si>
  <si>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</si>
  <si>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</si>
  <si>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</si>
  <si>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</si>
  <si>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</si>
  <si>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</si>
  <si>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</si>
  <si>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</si>
  <si>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</si>
  <si>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</si>
  <si>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</si>
  <si>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</si>
  <si>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</si>
  <si>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</si>
  <si>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</si>
  <si>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</si>
  <si>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</si>
  <si>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</si>
  <si>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</si>
  <si>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</si>
  <si>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</si>
  <si>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</si>
  <si>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</si>
  <si>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</si>
  <si>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</si>
  <si>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</si>
  <si>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</si>
  <si>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</si>
  <si>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</si>
  <si>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</si>
  <si>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</si>
  <si>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</si>
  <si>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</si>
  <si>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</si>
  <si>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</si>
  <si>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</si>
  <si>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</si>
  <si>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</si>
  <si>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</si>
  <si>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</si>
  <si>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</si>
  <si>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</si>
  <si>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</si>
  <si>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</si>
  <si>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</si>
  <si>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</si>
  <si>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</si>
  <si>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</si>
  <si>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</si>
  <si>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</si>
  <si>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</si>
  <si>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</si>
  <si>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</si>
  <si>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</si>
  <si>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</si>
  <si>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</si>
  <si>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</si>
  <si>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</si>
  <si>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</si>
  <si>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</si>
  <si>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</si>
  <si>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</si>
  <si>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</si>
  <si>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</si>
  <si>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</si>
  <si>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</si>
  <si>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</si>
  <si>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</si>
  <si>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</si>
  <si>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</si>
  <si>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</si>
  <si>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</si>
  <si>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</si>
  <si>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</si>
  <si>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</si>
  <si>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</si>
  <si>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</si>
  <si>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</si>
  <si>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Rating</t>
  </si>
  <si>
    <t>Grand Total</t>
  </si>
  <si>
    <t>Jan</t>
  </si>
  <si>
    <t>Feb</t>
  </si>
  <si>
    <t>Mar</t>
  </si>
  <si>
    <t>Apr</t>
  </si>
  <si>
    <t>May</t>
  </si>
  <si>
    <t>Jun</t>
  </si>
  <si>
    <t>Jul</t>
  </si>
  <si>
    <t>Aug</t>
  </si>
  <si>
    <t>Sep</t>
  </si>
  <si>
    <t>Oct</t>
  </si>
  <si>
    <t>Nov</t>
  </si>
  <si>
    <t>Dec</t>
  </si>
  <si>
    <t>Row Labels</t>
  </si>
  <si>
    <t>Call count2</t>
  </si>
  <si>
    <t>Sunday</t>
  </si>
  <si>
    <t>Saturday</t>
  </si>
  <si>
    <t>Thursday</t>
  </si>
  <si>
    <t>`</t>
  </si>
  <si>
    <t>Friday</t>
  </si>
  <si>
    <t>Monday</t>
  </si>
  <si>
    <t>Tuesday</t>
  </si>
  <si>
    <t>Wednesday</t>
  </si>
  <si>
    <t>For Graph</t>
  </si>
  <si>
    <t>Rep</t>
  </si>
  <si>
    <t>Calls</t>
  </si>
  <si>
    <t>Amount</t>
  </si>
  <si>
    <t>Sel.Calls</t>
  </si>
  <si>
    <t>Sel.Amount</t>
  </si>
  <si>
    <t>Selected rep</t>
  </si>
  <si>
    <t>Column Labels</t>
  </si>
  <si>
    <t>Total</t>
  </si>
  <si>
    <t>CALL CENTER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</si>
</sst>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ExtraBold"/>
      <family val="2"/>
      <scheme val="major"/>
    </font>
    <font>
      <sz val="24"/>
      <color theme="7" tint="-0.499984740745262"/>
      <name val="Aptos ExtraBold"/>
      <family val="2"/>
      <scheme val="major"/>
    </font>
    <font>
      <sz val="11"/>
      <color theme="7" tint="-0.499984740745262"/>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249977111117893"/>
        <bgColor indexed="64"/>
      </patternFill>
    </fill>
    <fill>
      <patternFill patternType="solid">
        <fgColor theme="8"/>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s>
  <cellStyleXfs count="1">
    <xf numFmtId="0" fontId="0" fillId="0" borderId="0"/>
  </cellStyleXfs>
  <cellXfs count="4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4" fillId="0" borderId="0" xfId="0" applyFont="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left" indent="1"/>
    </xf>
    <xf numFmtId="0" fontId="0" fillId="5" borderId="9" xfId="0" applyFill="1" applyBorder="1"/>
    <xf numFmtId="0" fontId="0" fillId="5" borderId="10" xfId="0" applyFill="1" applyBorder="1" applyAlignment="1">
      <alignment horizontal="center" vertical="center"/>
    </xf>
    <xf numFmtId="0" fontId="0" fillId="5" borderId="7" xfId="0" applyFill="1" applyBorder="1" applyAlignment="1">
      <alignment horizontal="center" vertical="center"/>
    </xf>
    <xf numFmtId="0" fontId="0" fillId="5" borderId="11" xfId="0" applyFill="1" applyBorder="1" applyAlignment="1">
      <alignment horizontal="center" vertical="center"/>
    </xf>
    <xf numFmtId="0" fontId="0" fillId="5" borderId="0" xfId="0" applyFill="1"/>
    <xf numFmtId="0" fontId="0" fillId="5" borderId="12" xfId="0" applyFill="1" applyBorder="1"/>
    <xf numFmtId="168" fontId="0" fillId="5" borderId="0" xfId="0" applyNumberFormat="1" applyFill="1"/>
    <xf numFmtId="168" fontId="0" fillId="5" borderId="12" xfId="0" applyNumberFormat="1" applyFill="1" applyBorder="1"/>
    <xf numFmtId="0" fontId="0" fillId="5" borderId="6" xfId="0" applyFill="1" applyBorder="1" applyAlignment="1">
      <alignment horizontal="center" vertical="center"/>
    </xf>
    <xf numFmtId="168" fontId="0" fillId="5" borderId="13" xfId="0" applyNumberFormat="1" applyFill="1" applyBorder="1"/>
    <xf numFmtId="168" fontId="0" fillId="5" borderId="4" xfId="0" applyNumberFormat="1" applyFill="1" applyBorder="1"/>
    <xf numFmtId="0" fontId="5" fillId="3" borderId="0" xfId="0" applyFont="1" applyFill="1"/>
    <xf numFmtId="0" fontId="6" fillId="3" borderId="0" xfId="0" applyFont="1" applyFill="1"/>
    <xf numFmtId="0" fontId="0" fillId="4" borderId="0" xfId="0" applyFont="1" applyFill="1" applyAlignment="1">
      <alignment horizontal="left"/>
    </xf>
    <xf numFmtId="0" fontId="0" fillId="0" borderId="0" xfId="0" applyNumberFormat="1"/>
  </cellXfs>
  <cellStyles count="1">
    <cellStyle name="Normal" xfId="0" builtinId="0"/>
  </cellStyles>
  <dxfs count="34">
    <dxf>
      <font>
        <color theme="8"/>
      </font>
    </dxf>
    <dxf>
      <fill>
        <patternFill patternType="solid">
          <bgColor theme="8"/>
        </patternFill>
      </fill>
    </dxf>
    <dxf>
      <font>
        <color theme="1"/>
      </font>
    </dxf>
    <dxf>
      <font>
        <color theme="8"/>
      </font>
    </dxf>
    <dxf>
      <fill>
        <patternFill patternType="solid">
          <bgColor theme="8"/>
        </patternFill>
      </fill>
    </dxf>
    <dxf>
      <font>
        <color theme="1"/>
      </font>
    </dxf>
    <dxf>
      <font>
        <color theme="8"/>
      </font>
    </dxf>
    <dxf>
      <fill>
        <patternFill patternType="solid">
          <bgColor theme="8"/>
        </patternFill>
      </fill>
    </dxf>
    <dxf>
      <font>
        <color theme="1"/>
      </font>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8" tint="0.79998168889431442"/>
        </left>
        <right style="thin">
          <color theme="8" tint="0.79998168889431442"/>
        </right>
        <top style="thin">
          <color theme="8" tint="0.79998168889431442"/>
        </top>
        <bottom style="thin">
          <color theme="8" tint="0.79998168889431442"/>
        </bottom>
        <vertical/>
        <horizontal/>
      </border>
    </dxf>
    <dxf>
      <font>
        <b/>
        <color theme="1"/>
      </font>
      <border>
        <bottom style="thin">
          <color theme="8"/>
        </bottom>
        <vertical/>
        <horizontal/>
      </border>
    </dxf>
    <dxf>
      <font>
        <color theme="1"/>
      </font>
      <fill>
        <patternFill>
          <bgColor theme="8" tint="0.59996337778862885"/>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name val="Aptos ExtraBold"/>
        <family val="2"/>
        <scheme val="major"/>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6" defaultTableStyle="TableStyleMedium2" defaultPivotStyle="PivotStyleLight16">
    <tableStyle name="Slicer Style 1" pivot="0" table="0" count="1" xr9:uid="{25BABDA2-DB3D-41F6-98D0-3EE7CBB0176F}">
      <tableStyleElement type="wholeTable" dxfId="33"/>
    </tableStyle>
    <tableStyle name="SlicerStyleDark5 2" pivot="0" table="0" count="10" xr9:uid="{4894999F-817F-44F8-BD96-180980C268CE}">
      <tableStyleElement type="wholeTable" dxfId="32"/>
      <tableStyleElement type="headerRow" dxfId="31"/>
    </tableStyle>
    <tableStyle name="SlicerStyleDark5 3" pivot="0" table="0" count="10" xr9:uid="{07D6C49F-A7C6-42F3-BC42-EF0B1C103665}">
      <tableStyleElement type="wholeTable" dxfId="30"/>
      <tableStyleElement type="headerRow" dxfId="29"/>
    </tableStyle>
    <tableStyle name="SlicerStyleDark5 4" pivot="0" table="0" count="10" xr9:uid="{3603F594-F23F-4078-AF86-6C954CB40E02}">
      <tableStyleElement type="wholeTable" dxfId="28"/>
      <tableStyleElement type="headerRow" dxfId="27"/>
    </tableStyle>
    <tableStyle name="SlicerStyleDark5 5" pivot="0" table="0" count="10" xr9:uid="{DE67F889-F2F6-495F-9053-B320550BDFDB}">
      <tableStyleElement type="wholeTable" dxfId="26"/>
      <tableStyleElement type="headerRow" dxfId="25"/>
    </tableStyle>
    <tableStyle name="SlicerStyleDark5 6" pivot="0" table="0" count="10" xr9:uid="{F86F101D-9611-4016-841C-5E5881E9797E}">
      <tableStyleElement type="wholeTable" dxfId="24"/>
      <tableStyleElement type="headerRow" dxfId="23"/>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name val="Aptos ExtraBold"/>
            <family val="2"/>
            <scheme val="major"/>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5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5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latin typeface="+mj-lt"/>
              </a:rPr>
              <a:t>Amount</a:t>
            </a:r>
          </a:p>
        </c:rich>
      </c:tx>
      <c:layout>
        <c:manualLayout>
          <c:xMode val="edge"/>
          <c:yMode val="edge"/>
          <c:x val="7.165492957746479E-2"/>
          <c:y val="2.76243093922651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pivot!$E$52:$E$56</c:f>
              <c:strCache>
                <c:ptCount val="5"/>
                <c:pt idx="0">
                  <c:v>R01</c:v>
                </c:pt>
                <c:pt idx="1">
                  <c:v>R02</c:v>
                </c:pt>
                <c:pt idx="2">
                  <c:v>R03</c:v>
                </c:pt>
                <c:pt idx="3">
                  <c:v>R04</c:v>
                </c:pt>
                <c:pt idx="4">
                  <c:v>R05</c:v>
                </c:pt>
              </c:strCache>
            </c:strRef>
          </c:cat>
          <c:val>
            <c:numRef>
              <c:f>pivot!$G$52:$G$56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E9E-4958-ABAC-873DEB864C9B}"/>
            </c:ext>
          </c:extLst>
        </c:ser>
        <c:ser>
          <c:idx val="1"/>
          <c:order val="1"/>
          <c:tx>
            <c:strRef>
              <c:f>pivot!$I$51</c:f>
              <c:strCache>
                <c:ptCount val="1"/>
                <c:pt idx="0">
                  <c:v>Sel.Amount</c:v>
                </c:pt>
              </c:strCache>
            </c:strRef>
          </c:tx>
          <c:spPr>
            <a:gradFill>
              <a:gsLst>
                <a:gs pos="94000">
                  <a:srgbClr val="FFB074"/>
                </a:gs>
                <a:gs pos="100000">
                  <a:srgbClr val="FFB37A"/>
                </a:gs>
                <a:gs pos="0">
                  <a:schemeClr val="accent5"/>
                </a:gs>
                <a:gs pos="100000">
                  <a:schemeClr val="accent5">
                    <a:lumMod val="20000"/>
                    <a:lumOff val="80000"/>
                  </a:schemeClr>
                </a:gs>
              </a:gsLst>
              <a:lin ang="2700000" scaled="1"/>
            </a:gradFill>
            <a:ln>
              <a:noFill/>
            </a:ln>
            <a:effectLst/>
          </c:spPr>
          <c:invertIfNegative val="0"/>
          <c:dLbls>
            <c:delete val="1"/>
          </c:dLbls>
          <c:val>
            <c:numRef>
              <c:f>pivot!$I$52:$I$56</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9E9E-4958-ABAC-873DEB864C9B}"/>
            </c:ext>
          </c:extLst>
        </c:ser>
        <c:dLbls>
          <c:dLblPos val="outEnd"/>
          <c:showLegendKey val="0"/>
          <c:showVal val="1"/>
          <c:showCatName val="0"/>
          <c:showSerName val="0"/>
          <c:showPercent val="0"/>
          <c:showBubbleSize val="0"/>
        </c:dLbls>
        <c:gapWidth val="25"/>
        <c:overlap val="100"/>
        <c:axId val="1961553696"/>
        <c:axId val="1961544576"/>
      </c:barChart>
      <c:catAx>
        <c:axId val="1961553696"/>
        <c:scaling>
          <c:orientation val="maxMin"/>
        </c:scaling>
        <c:delete val="1"/>
        <c:axPos val="l"/>
        <c:numFmt formatCode="General" sourceLinked="1"/>
        <c:majorTickMark val="none"/>
        <c:minorTickMark val="none"/>
        <c:tickLblPos val="nextTo"/>
        <c:crossAx val="1961544576"/>
        <c:crosses val="autoZero"/>
        <c:auto val="1"/>
        <c:lblAlgn val="ctr"/>
        <c:lblOffset val="100"/>
        <c:noMultiLvlLbl val="0"/>
      </c:catAx>
      <c:valAx>
        <c:axId val="1961544576"/>
        <c:scaling>
          <c:orientation val="minMax"/>
        </c:scaling>
        <c:delete val="1"/>
        <c:axPos val="t"/>
        <c:numFmt formatCode="\$#,###.0,&quot;k&quot;" sourceLinked="1"/>
        <c:majorTickMark val="none"/>
        <c:minorTickMark val="none"/>
        <c:tickLblPos val="nextTo"/>
        <c:crossAx val="196155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project.xlsx]pivot! weekly call count</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pivot!$H$24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pivot!$G$25:$G$32</c:f>
              <c:strCache>
                <c:ptCount val="7"/>
                <c:pt idx="0">
                  <c:v>Sunday</c:v>
                </c:pt>
                <c:pt idx="1">
                  <c:v>Monday</c:v>
                </c:pt>
                <c:pt idx="2">
                  <c:v>Tuesday</c:v>
                </c:pt>
                <c:pt idx="3">
                  <c:v>Wednesday</c:v>
                </c:pt>
                <c:pt idx="4">
                  <c:v>Thursday</c:v>
                </c:pt>
                <c:pt idx="5">
                  <c:v>Friday</c:v>
                </c:pt>
                <c:pt idx="6">
                  <c:v>Saturday</c:v>
                </c:pt>
              </c:strCache>
            </c:strRef>
          </c:cat>
          <c:val>
            <c:numRef>
              <c:f>pivot!$H$25:$H$32</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D2EE-42C1-869B-25AEADE0CCB4}"/>
            </c:ext>
          </c:extLst>
        </c:ser>
        <c:dLbls>
          <c:dLblPos val="outEnd"/>
          <c:showLegendKey val="0"/>
          <c:showVal val="1"/>
          <c:showCatName val="0"/>
          <c:showSerName val="0"/>
          <c:showPercent val="0"/>
          <c:showBubbleSize val="0"/>
        </c:dLbls>
        <c:gapWidth val="24"/>
        <c:axId val="1704428175"/>
        <c:axId val="1704427215"/>
      </c:barChart>
      <c:catAx>
        <c:axId val="170442817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427215"/>
        <c:crosses val="autoZero"/>
        <c:auto val="1"/>
        <c:lblAlgn val="ctr"/>
        <c:lblOffset val="100"/>
        <c:noMultiLvlLbl val="0"/>
      </c:catAx>
      <c:valAx>
        <c:axId val="1704427215"/>
        <c:scaling>
          <c:orientation val="minMax"/>
        </c:scaling>
        <c:delete val="1"/>
        <c:axPos val="t"/>
        <c:numFmt formatCode="#,##0" sourceLinked="1"/>
        <c:majorTickMark val="out"/>
        <c:minorTickMark val="none"/>
        <c:tickLblPos val="nextTo"/>
        <c:crossAx val="1704428175"/>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project.xlsx]pivot!monthly call count</c:name>
    <c:fmtId val="8"/>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j-lt"/>
                <a:ea typeface="+mn-ea"/>
                <a:cs typeface="+mn-cs"/>
              </a:defRPr>
            </a:pPr>
            <a:r>
              <a:rPr lang="en-IN" baseline="0">
                <a:solidFill>
                  <a:schemeClr val="accent5">
                    <a:lumMod val="75000"/>
                  </a:schemeClr>
                </a:solidFill>
                <a:latin typeface="+mj-lt"/>
              </a:rPr>
              <a:t>Call Trend</a:t>
            </a:r>
            <a:endParaRPr lang="en-IN">
              <a:solidFill>
                <a:schemeClr val="accent5">
                  <a:lumMod val="75000"/>
                </a:schemeClr>
              </a:solidFill>
              <a:latin typeface="+mj-lt"/>
            </a:endParaRPr>
          </a:p>
        </c:rich>
      </c:tx>
      <c:layout>
        <c:manualLayout>
          <c:xMode val="edge"/>
          <c:yMode val="edge"/>
          <c:x val="3.1565656565656568E-2"/>
          <c:y val="4.23280423280423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j-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gs>
              <a:gs pos="100000">
                <a:schemeClr val="accent5">
                  <a:lumMod val="60000"/>
                  <a:lumOff val="4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gradFill>
              <a:gsLst>
                <a:gs pos="0">
                  <a:schemeClr val="accent6"/>
                </a:gs>
                <a:gs pos="100000">
                  <a:schemeClr val="accent6">
                    <a:lumMod val="75000"/>
                  </a:schemeClr>
                </a:gs>
              </a:gsLst>
              <a:lin ang="5400000" scaled="1"/>
            </a:gradFill>
            <a:round/>
          </a:ln>
          <a:effectLst/>
        </c:spPr>
        <c:marker>
          <c:symbol val="circle"/>
          <c:size val="5"/>
          <c:spPr>
            <a:solidFill>
              <a:schemeClr val="bg1">
                <a:lumMod val="95000"/>
              </a:schemeClr>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pivot!$C$24</c:f>
              <c:strCache>
                <c:ptCount val="1"/>
                <c:pt idx="0">
                  <c:v>Call count2</c:v>
                </c:pt>
              </c:strCache>
            </c:strRef>
          </c:tx>
          <c:spPr>
            <a:gradFill>
              <a:gsLst>
                <a:gs pos="0">
                  <a:schemeClr val="accent6"/>
                </a:gs>
                <a:gs pos="100000">
                  <a:schemeClr val="accent5">
                    <a:lumMod val="60000"/>
                    <a:lumOff val="4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pivot!$A$25:$A$37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pivot!$C$25:$C$37</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69BA-4AF5-BF5B-675873FA3933}"/>
            </c:ext>
          </c:extLst>
        </c:ser>
        <c:dLbls>
          <c:showLegendKey val="0"/>
          <c:showVal val="0"/>
          <c:showCatName val="0"/>
          <c:showSerName val="0"/>
          <c:showPercent val="0"/>
          <c:showBubbleSize val="0"/>
        </c:dLbls>
        <c:axId val="1620786431"/>
        <c:axId val="1620779231"/>
      </c:areaChart>
      <c:lineChart>
        <c:grouping val="standard"/>
        <c:varyColors val="0"/>
        <c:ser>
          <c:idx val="0"/>
          <c:order val="0"/>
          <c:tx>
            <c:strRef>
              <c:f>pivot!$B$24</c:f>
              <c:strCache>
                <c:ptCount val="1"/>
                <c:pt idx="0">
                  <c:v>Call count</c:v>
                </c:pt>
              </c:strCache>
            </c:strRef>
          </c:tx>
          <c:spPr>
            <a:ln w="28575" cap="rnd">
              <a:gradFill>
                <a:gsLst>
                  <a:gs pos="0">
                    <a:schemeClr val="accent6"/>
                  </a:gs>
                  <a:gs pos="100000">
                    <a:schemeClr val="accent6">
                      <a:lumMod val="75000"/>
                    </a:schemeClr>
                  </a:gs>
                </a:gsLst>
                <a:lin ang="5400000" scaled="1"/>
              </a:gradFill>
              <a:round/>
            </a:ln>
            <a:effectLst/>
          </c:spPr>
          <c:marker>
            <c:symbol val="circle"/>
            <c:size val="5"/>
            <c:spPr>
              <a:solidFill>
                <a:schemeClr val="bg1">
                  <a:lumMod val="95000"/>
                </a:schemeClr>
              </a:solidFill>
              <a:ln w="25400">
                <a:solidFill>
                  <a:schemeClr val="tx1"/>
                </a:solidFill>
              </a:ln>
              <a:effectLst/>
            </c:spPr>
          </c:marker>
          <c:cat>
            <c:strRef>
              <c:f>pivot!$A$25:$A$37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pivot!$B$25:$B$37</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69BA-4AF5-BF5B-675873FA3933}"/>
            </c:ext>
          </c:extLst>
        </c:ser>
        <c:dLbls>
          <c:showLegendKey val="0"/>
          <c:showVal val="0"/>
          <c:showCatName val="0"/>
          <c:showSerName val="0"/>
          <c:showPercent val="0"/>
          <c:showBubbleSize val="0"/>
        </c:dLbls>
        <c:marker val="1"/>
        <c:smooth val="0"/>
        <c:axId val="1620786431"/>
        <c:axId val="1620779231"/>
      </c:lineChart>
      <c:catAx>
        <c:axId val="162078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79231"/>
        <c:crosses val="autoZero"/>
        <c:auto val="1"/>
        <c:lblAlgn val="ctr"/>
        <c:lblOffset val="100"/>
        <c:noMultiLvlLbl val="0"/>
      </c:catAx>
      <c:valAx>
        <c:axId val="1620779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8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chemeClr val="accent6"/>
                </a:solidFill>
                <a:latin typeface="+mj-lt"/>
                <a:ea typeface="+mn-ea"/>
                <a:cs typeface="+mn-cs"/>
              </a:defRPr>
            </a:pPr>
            <a:r>
              <a:rPr lang="en-IN" sz="1400" b="0" i="0" u="none" strike="noStrike" kern="1200" spc="0" baseline="0">
                <a:solidFill>
                  <a:schemeClr val="accent6"/>
                </a:solidFill>
                <a:latin typeface="+mj-lt"/>
                <a:ea typeface="+mn-ea"/>
                <a:cs typeface="+mn-cs"/>
              </a:rPr>
              <a:t>Calls</a:t>
            </a:r>
          </a:p>
        </c:rich>
      </c:tx>
      <c:layout>
        <c:manualLayout>
          <c:xMode val="edge"/>
          <c:yMode val="edge"/>
          <c:x val="0.13042101156274385"/>
          <c:y val="3.2381708501906872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accent6"/>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pivot!$E$52:$E$56</c:f>
              <c:strCache>
                <c:ptCount val="5"/>
                <c:pt idx="0">
                  <c:v>R01</c:v>
                </c:pt>
                <c:pt idx="1">
                  <c:v>R02</c:v>
                </c:pt>
                <c:pt idx="2">
                  <c:v>R03</c:v>
                </c:pt>
                <c:pt idx="3">
                  <c:v>R04</c:v>
                </c:pt>
                <c:pt idx="4">
                  <c:v>R05</c:v>
                </c:pt>
              </c:strCache>
            </c:strRef>
          </c:cat>
          <c:val>
            <c:numRef>
              <c:f>pivot!$F$52:$F$56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818-4DB2-84A3-7D7C8F01402F}"/>
            </c:ext>
          </c:extLst>
        </c:ser>
        <c:ser>
          <c:idx val="1"/>
          <c:order val="1"/>
          <c:tx>
            <c:strRef>
              <c:f>pivot!$H$51</c:f>
              <c:strCache>
                <c:ptCount val="1"/>
                <c:pt idx="0">
                  <c:v>Sel.Calls</c:v>
                </c:pt>
              </c:strCache>
            </c:strRef>
          </c:tx>
          <c:spPr>
            <a:gradFill flip="none" rotWithShape="1">
              <a:gsLst>
                <a:gs pos="35000">
                  <a:schemeClr val="accent6"/>
                </a:gs>
                <a:gs pos="0">
                  <a:schemeClr val="accent6">
                    <a:lumMod val="75000"/>
                  </a:schemeClr>
                </a:gs>
                <a:gs pos="100000">
                  <a:schemeClr val="accent6">
                    <a:lumMod val="60000"/>
                    <a:lumOff val="40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pivot!$H$52:$H$56</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E818-4DB2-84A3-7D7C8F01402F}"/>
            </c:ext>
          </c:extLst>
        </c:ser>
        <c:dLbls>
          <c:dLblPos val="outEnd"/>
          <c:showLegendKey val="0"/>
          <c:showVal val="1"/>
          <c:showCatName val="0"/>
          <c:showSerName val="0"/>
          <c:showPercent val="0"/>
          <c:showBubbleSize val="0"/>
        </c:dLbls>
        <c:gapWidth val="25"/>
        <c:overlap val="100"/>
        <c:axId val="1961553696"/>
        <c:axId val="1961544576"/>
      </c:barChart>
      <c:catAx>
        <c:axId val="1961553696"/>
        <c:scaling>
          <c:orientation val="maxMin"/>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44576"/>
        <c:crosses val="autoZero"/>
        <c:auto val="1"/>
        <c:lblAlgn val="ctr"/>
        <c:lblOffset val="100"/>
        <c:noMultiLvlLbl val="0"/>
      </c:catAx>
      <c:valAx>
        <c:axId val="1961544576"/>
        <c:scaling>
          <c:orientation val="minMax"/>
          <c:min val="0"/>
        </c:scaling>
        <c:delete val="1"/>
        <c:axPos val="t"/>
        <c:numFmt formatCode="General" sourceLinked="1"/>
        <c:majorTickMark val="out"/>
        <c:minorTickMark val="none"/>
        <c:tickLblPos val="nextTo"/>
        <c:crossAx val="196155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project.xlsx]pivot!Male vs female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IN" sz="1400">
                <a:solidFill>
                  <a:schemeClr val="accent5"/>
                </a:solidFill>
                <a:latin typeface="+mj-lt"/>
              </a:rPr>
              <a:t>Male</a:t>
            </a:r>
            <a:r>
              <a:rPr lang="en-IN" sz="1400" baseline="0">
                <a:latin typeface="+mj-lt"/>
              </a:rPr>
              <a:t> vs </a:t>
            </a:r>
            <a:r>
              <a:rPr lang="en-IN" sz="1400" baseline="0">
                <a:solidFill>
                  <a:schemeClr val="accent2">
                    <a:lumMod val="75000"/>
                  </a:schemeClr>
                </a:solidFill>
                <a:latin typeface="+mj-lt"/>
              </a:rPr>
              <a:t>Female</a:t>
            </a:r>
            <a:r>
              <a:rPr lang="en-IN" sz="1400" baseline="0">
                <a:latin typeface="+mj-lt"/>
              </a:rPr>
              <a:t> </a:t>
            </a:r>
            <a:endParaRPr lang="en-IN" sz="1400">
              <a:latin typeface="+mj-lt"/>
            </a:endParaRPr>
          </a:p>
        </c:rich>
      </c:tx>
      <c:layout>
        <c:manualLayout>
          <c:xMode val="edge"/>
          <c:yMode val="edge"/>
          <c:x val="0.15587631729619111"/>
          <c:y val="2.67094017094017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pivot!$B$77:$B$78</c:f>
              <c:strCache>
                <c:ptCount val="1"/>
                <c:pt idx="0">
                  <c:v>Female</c:v>
                </c:pt>
              </c:strCache>
            </c:strRef>
          </c:tx>
          <c:spPr>
            <a:solidFill>
              <a:schemeClr val="accent2">
                <a:lumMod val="75000"/>
              </a:schemeClr>
            </a:solidFill>
            <a:ln>
              <a:noFill/>
            </a:ln>
            <a:effectLst/>
          </c:spPr>
          <c:invertIfNegative val="0"/>
          <c:dLbls>
            <c:spPr>
              <a:solidFill>
                <a:srgbClr val="00B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pivot!$A$79:$A$82</c:f>
              <c:strCache>
                <c:ptCount val="3"/>
                <c:pt idx="0">
                  <c:v>Cincinnati</c:v>
                </c:pt>
                <c:pt idx="1">
                  <c:v>Cleveland</c:v>
                </c:pt>
                <c:pt idx="2">
                  <c:v>Columbus</c:v>
                </c:pt>
              </c:strCache>
            </c:strRef>
          </c:cat>
          <c:val>
            <c:numRef>
              <c:f>pivot!$B$79:$B$82</c:f>
              <c:numCache>
                <c:formatCode>#,##0</c:formatCode>
                <c:ptCount val="3"/>
                <c:pt idx="0">
                  <c:v>144</c:v>
                </c:pt>
                <c:pt idx="1">
                  <c:v>326</c:v>
                </c:pt>
                <c:pt idx="2">
                  <c:v>129</c:v>
                </c:pt>
              </c:numCache>
            </c:numRef>
          </c:val>
          <c:extLst>
            <c:ext xmlns:c16="http://schemas.microsoft.com/office/drawing/2014/chart" uri="{C3380CC4-5D6E-409C-BE32-E72D297353CC}">
              <c16:uniqueId val="{00000000-DAD9-44F9-912B-442E4642AE76}"/>
            </c:ext>
          </c:extLst>
        </c:ser>
        <c:ser>
          <c:idx val="1"/>
          <c:order val="1"/>
          <c:tx>
            <c:strRef>
              <c:f>pivot!$C$77:$C$78</c:f>
              <c:strCache>
                <c:ptCount val="1"/>
                <c:pt idx="0">
                  <c:v>Male</c:v>
                </c:pt>
              </c:strCache>
            </c:strRef>
          </c:tx>
          <c:spPr>
            <a:solidFill>
              <a:schemeClr val="accent5"/>
            </a:solidFill>
            <a:ln>
              <a:noFill/>
            </a:ln>
            <a:effectLst/>
          </c:spPr>
          <c:invertIfNegative val="0"/>
          <c:dLbls>
            <c:spPr>
              <a:solidFill>
                <a:schemeClr val="accent5"/>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pivot!$A$79:$A$82</c:f>
              <c:strCache>
                <c:ptCount val="3"/>
                <c:pt idx="0">
                  <c:v>Cincinnati</c:v>
                </c:pt>
                <c:pt idx="1">
                  <c:v>Cleveland</c:v>
                </c:pt>
                <c:pt idx="2">
                  <c:v>Columbus</c:v>
                </c:pt>
              </c:strCache>
            </c:strRef>
          </c:cat>
          <c:val>
            <c:numRef>
              <c:f>pivot!$C$79:$C$82</c:f>
              <c:numCache>
                <c:formatCode>#,##0</c:formatCode>
                <c:ptCount val="3"/>
                <c:pt idx="0">
                  <c:v>132</c:v>
                </c:pt>
                <c:pt idx="1">
                  <c:v>63</c:v>
                </c:pt>
                <c:pt idx="2">
                  <c:v>206</c:v>
                </c:pt>
              </c:numCache>
            </c:numRef>
          </c:val>
          <c:extLst>
            <c:ext xmlns:c16="http://schemas.microsoft.com/office/drawing/2014/chart" uri="{C3380CC4-5D6E-409C-BE32-E72D297353CC}">
              <c16:uniqueId val="{00000001-DAD9-44F9-912B-442E4642AE76}"/>
            </c:ext>
          </c:extLst>
        </c:ser>
        <c:dLbls>
          <c:dLblPos val="ctr"/>
          <c:showLegendKey val="0"/>
          <c:showVal val="1"/>
          <c:showCatName val="0"/>
          <c:showSerName val="0"/>
          <c:showPercent val="0"/>
          <c:showBubbleSize val="0"/>
        </c:dLbls>
        <c:gapWidth val="40"/>
        <c:overlap val="100"/>
        <c:axId val="734533600"/>
        <c:axId val="734550400"/>
      </c:barChart>
      <c:catAx>
        <c:axId val="734533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50400"/>
        <c:crosses val="autoZero"/>
        <c:auto val="1"/>
        <c:lblAlgn val="ctr"/>
        <c:lblOffset val="100"/>
        <c:noMultiLvlLbl val="0"/>
      </c:catAx>
      <c:valAx>
        <c:axId val="734550400"/>
        <c:scaling>
          <c:orientation val="minMax"/>
        </c:scaling>
        <c:delete val="1"/>
        <c:axPos val="l"/>
        <c:numFmt formatCode="0%" sourceLinked="1"/>
        <c:majorTickMark val="out"/>
        <c:minorTickMark val="none"/>
        <c:tickLblPos val="nextTo"/>
        <c:crossAx val="73453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project.xlsx]pivot!rep satisfaction</c:name>
    <c:fmtId val="12"/>
  </c:pivotSource>
  <c:chart>
    <c:title>
      <c:tx>
        <c:rich>
          <a:bodyPr rot="0" spcFirstLastPara="1" vertOverflow="ellipsis" vert="horz" wrap="square" anchor="ctr" anchorCtr="1"/>
          <a:lstStyle/>
          <a:p>
            <a:pPr>
              <a:defRPr sz="1400" b="0" i="0" u="none" strike="noStrike" kern="1200" spc="0" baseline="0">
                <a:solidFill>
                  <a:schemeClr val="bg2">
                    <a:lumMod val="50000"/>
                  </a:schemeClr>
                </a:solidFill>
                <a:latin typeface="+mj-lt"/>
                <a:ea typeface="+mn-ea"/>
                <a:cs typeface="+mn-cs"/>
              </a:defRPr>
            </a:pPr>
            <a:r>
              <a:rPr lang="en-IN">
                <a:solidFill>
                  <a:schemeClr val="bg2">
                    <a:lumMod val="50000"/>
                  </a:schemeClr>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50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pivot!$B$92</c:f>
              <c:strCache>
                <c:ptCount val="1"/>
                <c:pt idx="0">
                  <c:v>Total</c:v>
                </c:pt>
              </c:strCache>
            </c:strRef>
          </c:tx>
          <c:spPr>
            <a:solidFill>
              <a:schemeClr val="bg2">
                <a:lumMod val="75000"/>
              </a:schemeClr>
            </a:solidFill>
            <a:ln>
              <a:noFill/>
            </a:ln>
            <a:effectLst/>
          </c:spPr>
          <c:invertIfNegative val="0"/>
          <c:cat>
            <c:strRef>
              <c:f>pivot!$A$93:$A$99</c:f>
              <c:strCache>
                <c:ptCount val="6"/>
                <c:pt idx="0">
                  <c:v>0</c:v>
                </c:pt>
                <c:pt idx="1">
                  <c:v>1</c:v>
                </c:pt>
                <c:pt idx="2">
                  <c:v>2</c:v>
                </c:pt>
                <c:pt idx="3">
                  <c:v>3</c:v>
                </c:pt>
                <c:pt idx="4">
                  <c:v>4</c:v>
                </c:pt>
                <c:pt idx="5">
                  <c:v>5</c:v>
                </c:pt>
              </c:strCache>
            </c:strRef>
          </c:cat>
          <c:val>
            <c:numRef>
              <c:f>pivot!$B$93:$B$99</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C380-4AE8-AE18-C2F453D14F2D}"/>
            </c:ext>
          </c:extLst>
        </c:ser>
        <c:dLbls>
          <c:showLegendKey val="0"/>
          <c:showVal val="0"/>
          <c:showCatName val="0"/>
          <c:showSerName val="0"/>
          <c:showPercent val="0"/>
          <c:showBubbleSize val="0"/>
        </c:dLbls>
        <c:gapWidth val="45"/>
        <c:overlap val="100"/>
        <c:axId val="740642992"/>
        <c:axId val="740657392"/>
      </c:barChart>
      <c:catAx>
        <c:axId val="740642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3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657392"/>
        <c:crossesAt val="0"/>
        <c:auto val="1"/>
        <c:lblAlgn val="ctr"/>
        <c:lblOffset val="100"/>
        <c:tickMarkSkip val="1"/>
        <c:noMultiLvlLbl val="0"/>
      </c:catAx>
      <c:valAx>
        <c:axId val="740657392"/>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642992"/>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creativecommons.org/licenses/by-sa/3.0/" TargetMode="External"/><Relationship Id="rId2" Type="http://schemas.openxmlformats.org/officeDocument/2006/relationships/hyperlink" Target="https://www.devex.com/news/report-seeks-better-monitoring-of-usaid-s-agricultural-programs-in-afghanistan-68471" TargetMode="External"/><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2.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9.sv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svg"/><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image" Target="../media/image17.sv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svg"/><Relationship Id="rId4" Type="http://schemas.openxmlformats.org/officeDocument/2006/relationships/image" Target="../media/image15.sv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21</xdr:row>
      <xdr:rowOff>0</xdr:rowOff>
    </xdr:from>
    <xdr:to>
      <xdr:col>27</xdr:col>
      <xdr:colOff>182880</xdr:colOff>
      <xdr:row>26</xdr:row>
      <xdr:rowOff>38100</xdr:rowOff>
    </xdr:to>
    <xdr:pic>
      <xdr:nvPicPr>
        <xdr:cNvPr id="3" name="Picture 2">
          <a:extLst>
            <a:ext uri="{FF2B5EF4-FFF2-40B4-BE49-F238E27FC236}">
              <a16:creationId xmlns:a16="http://schemas.microsoft.com/office/drawing/2014/main" id="{5EBFA86D-ED89-B65C-EF5A-DEB83179EB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8112740" y="3840480"/>
          <a:ext cx="952500" cy="952500"/>
        </a:xfrm>
        <a:prstGeom prst="rect">
          <a:avLst/>
        </a:prstGeom>
      </xdr:spPr>
    </xdr:pic>
    <xdr:clientData/>
  </xdr:twoCellAnchor>
  <xdr:oneCellAnchor>
    <xdr:from>
      <xdr:col>25</xdr:col>
      <xdr:colOff>745870</xdr:colOff>
      <xdr:row>26</xdr:row>
      <xdr:rowOff>38100</xdr:rowOff>
    </xdr:from>
    <xdr:ext cx="1000000" cy="796693"/>
    <xdr:sp macro="" textlink="">
      <xdr:nvSpPr>
        <xdr:cNvPr id="4" name="TextBox 3">
          <a:extLst>
            <a:ext uri="{FF2B5EF4-FFF2-40B4-BE49-F238E27FC236}">
              <a16:creationId xmlns:a16="http://schemas.microsoft.com/office/drawing/2014/main" id="{60F1CF87-1449-C4B7-9982-3FE3D0DC0AE0}"/>
            </a:ext>
          </a:extLst>
        </xdr:cNvPr>
        <xdr:cNvSpPr txBox="1"/>
      </xdr:nvSpPr>
      <xdr:spPr>
        <a:xfrm>
          <a:off x="18088990" y="4792980"/>
          <a:ext cx="1000000" cy="796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2" tooltip="https://www.devex.com/news/report-seeks-better-monitoring-of-usaid-s-agricultural-programs-in-afghanistan-68471"/>
            </a:rPr>
            <a:t>This Photo</a:t>
          </a:r>
          <a:r>
            <a:rPr lang="en-IN" sz="900"/>
            <a:t> by Unknown Author is licensed under </a:t>
          </a:r>
          <a:r>
            <a:rPr lang="en-IN" sz="900">
              <a:hlinkClick xmlns:r="http://schemas.openxmlformats.org/officeDocument/2006/relationships" r:id="rId3" tooltip="https://creativecommons.org/licenses/by-sa/3.0/"/>
            </a:rPr>
            <a:t>CC BY-SA</a:t>
          </a:r>
          <a:endParaRPr lang="en-IN" sz="9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12</xdr:col>
      <xdr:colOff>251460</xdr:colOff>
      <xdr:row>18</xdr:row>
      <xdr:rowOff>1</xdr:rowOff>
    </xdr:from>
    <xdr:to>
      <xdr:col>15</xdr:col>
      <xdr:colOff>518160</xdr:colOff>
      <xdr:row>32</xdr:row>
      <xdr:rowOff>165653</xdr:rowOff>
    </xdr:to>
    <mc:AlternateContent xmlns:mc="http://schemas.openxmlformats.org/markup-compatibility/2006" xmlns:a14="http://schemas.microsoft.com/office/drawing/2010/main">
      <mc:Choice Requires="a14">
        <xdr:graphicFrame macro="">
          <xdr:nvGraphicFramePr>
            <xdr:cNvPr id="40" name="Representative">
              <a:extLst>
                <a:ext uri="{FF2B5EF4-FFF2-40B4-BE49-F238E27FC236}">
                  <a16:creationId xmlns:a16="http://schemas.microsoft.com/office/drawing/2014/main" id="{997A9A0D-DA94-4956-8874-D730BF2B7F1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842760" y="3794760"/>
              <a:ext cx="1828800" cy="2232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7620</xdr:colOff>
      <xdr:row>18</xdr:row>
      <xdr:rowOff>0</xdr:rowOff>
    </xdr:from>
    <xdr:to>
      <xdr:col>12</xdr:col>
      <xdr:colOff>312420</xdr:colOff>
      <xdr:row>32</xdr:row>
      <xdr:rowOff>91440</xdr:rowOff>
    </xdr:to>
    <xdr:sp macro="" textlink="">
      <xdr:nvSpPr>
        <xdr:cNvPr id="13" name="Rectangle 12">
          <a:extLst>
            <a:ext uri="{FF2B5EF4-FFF2-40B4-BE49-F238E27FC236}">
              <a16:creationId xmlns:a16="http://schemas.microsoft.com/office/drawing/2014/main" id="{19DFDEC4-4812-EE9C-9FA7-5FA8AAA00FC4}"/>
            </a:ext>
          </a:extLst>
        </xdr:cNvPr>
        <xdr:cNvSpPr/>
      </xdr:nvSpPr>
      <xdr:spPr>
        <a:xfrm>
          <a:off x="2011680" y="3589020"/>
          <a:ext cx="4998720" cy="2651760"/>
        </a:xfrm>
        <a:prstGeom prst="rect">
          <a:avLst/>
        </a:prstGeom>
        <a:solidFill>
          <a:schemeClr val="bg1"/>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137160</xdr:colOff>
      <xdr:row>18</xdr:row>
      <xdr:rowOff>30480</xdr:rowOff>
    </xdr:from>
    <xdr:to>
      <xdr:col>12</xdr:col>
      <xdr:colOff>289560</xdr:colOff>
      <xdr:row>38</xdr:row>
      <xdr:rowOff>88348</xdr:rowOff>
    </xdr:to>
    <xdr:graphicFrame macro="">
      <xdr:nvGraphicFramePr>
        <xdr:cNvPr id="12" name="Chart 11">
          <a:extLst>
            <a:ext uri="{FF2B5EF4-FFF2-40B4-BE49-F238E27FC236}">
              <a16:creationId xmlns:a16="http://schemas.microsoft.com/office/drawing/2014/main" id="{FBA79B54-0813-4AAF-AF22-7BF7474BF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xdr:row>
      <xdr:rowOff>0</xdr:rowOff>
    </xdr:from>
    <xdr:to>
      <xdr:col>4</xdr:col>
      <xdr:colOff>0</xdr:colOff>
      <xdr:row>8</xdr:row>
      <xdr:rowOff>0</xdr:rowOff>
    </xdr:to>
    <xdr:sp macro="" textlink="pivot!A4">
      <xdr:nvSpPr>
        <xdr:cNvPr id="3" name="Rectangle 2">
          <a:extLst>
            <a:ext uri="{FF2B5EF4-FFF2-40B4-BE49-F238E27FC236}">
              <a16:creationId xmlns:a16="http://schemas.microsoft.com/office/drawing/2014/main" id="{20434383-7F17-1BC9-2BAA-F8BD546708FD}"/>
            </a:ext>
          </a:extLst>
        </xdr:cNvPr>
        <xdr:cNvSpPr/>
      </xdr:nvSpPr>
      <xdr:spPr>
        <a:xfrm>
          <a:off x="441960" y="365760"/>
          <a:ext cx="1341120" cy="109728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7BDC82-754F-4871-8F77-E1B678115A3A}" type="TxLink">
            <a:rPr lang="en-US" sz="1800" b="0" i="0" u="none" strike="noStrike">
              <a:solidFill>
                <a:schemeClr val="bg1"/>
              </a:solidFill>
              <a:latin typeface="+mj-lt"/>
            </a:rPr>
            <a:pPr algn="ctr"/>
            <a:t>1,000</a:t>
          </a:fld>
          <a:endParaRPr lang="en-IN" sz="1800">
            <a:solidFill>
              <a:schemeClr val="bg1"/>
            </a:solidFill>
            <a:latin typeface="+mj-lt"/>
          </a:endParaRPr>
        </a:p>
      </xdr:txBody>
    </xdr:sp>
    <xdr:clientData/>
  </xdr:twoCellAnchor>
  <xdr:twoCellAnchor>
    <xdr:from>
      <xdr:col>2</xdr:col>
      <xdr:colOff>335280</xdr:colOff>
      <xdr:row>2</xdr:row>
      <xdr:rowOff>106680</xdr:rowOff>
    </xdr:from>
    <xdr:to>
      <xdr:col>3</xdr:col>
      <xdr:colOff>449580</xdr:colOff>
      <xdr:row>3</xdr:row>
      <xdr:rowOff>83820</xdr:rowOff>
    </xdr:to>
    <xdr:sp macro="" textlink="">
      <xdr:nvSpPr>
        <xdr:cNvPr id="4" name="TextBox 3">
          <a:extLst>
            <a:ext uri="{FF2B5EF4-FFF2-40B4-BE49-F238E27FC236}">
              <a16:creationId xmlns:a16="http://schemas.microsoft.com/office/drawing/2014/main" id="{34B663C6-026D-BF80-16C5-856922EA58A9}"/>
            </a:ext>
          </a:extLst>
        </xdr:cNvPr>
        <xdr:cNvSpPr txBox="1"/>
      </xdr:nvSpPr>
      <xdr:spPr>
        <a:xfrm>
          <a:off x="777240" y="472440"/>
          <a:ext cx="7848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Calls</a:t>
          </a:r>
        </a:p>
      </xdr:txBody>
    </xdr:sp>
    <xdr:clientData/>
  </xdr:twoCellAnchor>
  <xdr:twoCellAnchor>
    <xdr:from>
      <xdr:col>2</xdr:col>
      <xdr:colOff>419100</xdr:colOff>
      <xdr:row>6</xdr:row>
      <xdr:rowOff>30480</xdr:rowOff>
    </xdr:from>
    <xdr:to>
      <xdr:col>3</xdr:col>
      <xdr:colOff>281940</xdr:colOff>
      <xdr:row>7</xdr:row>
      <xdr:rowOff>45720</xdr:rowOff>
    </xdr:to>
    <xdr:sp macro="" textlink="pivot!A10">
      <xdr:nvSpPr>
        <xdr:cNvPr id="5" name="TextBox 4">
          <a:extLst>
            <a:ext uri="{FF2B5EF4-FFF2-40B4-BE49-F238E27FC236}">
              <a16:creationId xmlns:a16="http://schemas.microsoft.com/office/drawing/2014/main" id="{45E6C6B3-26B2-4D5B-C304-A874C6F6F155}"/>
            </a:ext>
          </a:extLst>
        </xdr:cNvPr>
        <xdr:cNvSpPr txBox="1"/>
      </xdr:nvSpPr>
      <xdr:spPr>
        <a:xfrm>
          <a:off x="861060" y="1127760"/>
          <a:ext cx="5334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7DB607-F3E6-45CD-98E3-274B1DEEFFB1}" type="TxLink">
            <a:rPr lang="en-US" sz="1100" b="0" i="0" u="none" strike="noStrike">
              <a:solidFill>
                <a:schemeClr val="bg1"/>
              </a:solidFill>
              <a:latin typeface="Aptos"/>
            </a:rPr>
            <a:pPr algn="ctr"/>
            <a:t>1,000</a:t>
          </a:fld>
          <a:endParaRPr lang="en-IN" sz="1100">
            <a:solidFill>
              <a:schemeClr val="bg1"/>
            </a:solidFill>
          </a:endParaRPr>
        </a:p>
      </xdr:txBody>
    </xdr:sp>
    <xdr:clientData/>
  </xdr:twoCellAnchor>
  <xdr:twoCellAnchor editAs="oneCell">
    <xdr:from>
      <xdr:col>2</xdr:col>
      <xdr:colOff>213361</xdr:colOff>
      <xdr:row>2</xdr:row>
      <xdr:rowOff>113653</xdr:rowOff>
    </xdr:from>
    <xdr:to>
      <xdr:col>2</xdr:col>
      <xdr:colOff>379627</xdr:colOff>
      <xdr:row>3</xdr:row>
      <xdr:rowOff>60960</xdr:rowOff>
    </xdr:to>
    <xdr:pic>
      <xdr:nvPicPr>
        <xdr:cNvPr id="7" name="Graphic 6" descr="Receiver with solid fill">
          <a:extLst>
            <a:ext uri="{FF2B5EF4-FFF2-40B4-BE49-F238E27FC236}">
              <a16:creationId xmlns:a16="http://schemas.microsoft.com/office/drawing/2014/main" id="{731A11F7-3AC1-4759-B55F-6BF5CFD94A9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2039371">
          <a:off x="655321" y="479413"/>
          <a:ext cx="166266" cy="130187"/>
        </a:xfrm>
        <a:prstGeom prst="rect">
          <a:avLst/>
        </a:prstGeom>
      </xdr:spPr>
    </xdr:pic>
    <xdr:clientData/>
  </xdr:twoCellAnchor>
  <xdr:twoCellAnchor>
    <xdr:from>
      <xdr:col>2</xdr:col>
      <xdr:colOff>0</xdr:colOff>
      <xdr:row>10</xdr:row>
      <xdr:rowOff>0</xdr:rowOff>
    </xdr:from>
    <xdr:to>
      <xdr:col>4</xdr:col>
      <xdr:colOff>0</xdr:colOff>
      <xdr:row>16</xdr:row>
      <xdr:rowOff>0</xdr:rowOff>
    </xdr:to>
    <xdr:sp macro="" textlink="pivot!B4">
      <xdr:nvSpPr>
        <xdr:cNvPr id="8" name="Rectangle 7">
          <a:extLst>
            <a:ext uri="{FF2B5EF4-FFF2-40B4-BE49-F238E27FC236}">
              <a16:creationId xmlns:a16="http://schemas.microsoft.com/office/drawing/2014/main" id="{204F1A02-02BE-480A-8DC5-D433269AB0ED}"/>
            </a:ext>
          </a:extLst>
        </xdr:cNvPr>
        <xdr:cNvSpPr/>
      </xdr:nvSpPr>
      <xdr:spPr>
        <a:xfrm>
          <a:off x="441960" y="1828800"/>
          <a:ext cx="1341120" cy="109728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2B5A6F-28BE-4AAF-A53B-EBB8FB397714}" type="TxLink">
            <a:rPr lang="en-US" sz="1800" b="0" i="0" u="none" strike="noStrike">
              <a:solidFill>
                <a:schemeClr val="bg1"/>
              </a:solidFill>
              <a:latin typeface="+mj-lt"/>
              <a:ea typeface="+mn-ea"/>
              <a:cs typeface="+mn-cs"/>
            </a:rPr>
            <a:pPr marL="0" indent="0" algn="ctr"/>
            <a:t>$96,623</a:t>
          </a:fld>
          <a:endParaRPr lang="en-IN" sz="1800" b="0" i="0" u="none" strike="noStrike">
            <a:solidFill>
              <a:schemeClr val="bg1"/>
            </a:solidFill>
            <a:latin typeface="+mj-lt"/>
            <a:ea typeface="+mn-ea"/>
            <a:cs typeface="+mn-cs"/>
          </a:endParaRPr>
        </a:p>
      </xdr:txBody>
    </xdr:sp>
    <xdr:clientData/>
  </xdr:twoCellAnchor>
  <xdr:twoCellAnchor>
    <xdr:from>
      <xdr:col>2</xdr:col>
      <xdr:colOff>335280</xdr:colOff>
      <xdr:row>10</xdr:row>
      <xdr:rowOff>106680</xdr:rowOff>
    </xdr:from>
    <xdr:to>
      <xdr:col>3</xdr:col>
      <xdr:colOff>449580</xdr:colOff>
      <xdr:row>11</xdr:row>
      <xdr:rowOff>83820</xdr:rowOff>
    </xdr:to>
    <xdr:sp macro="" textlink="">
      <xdr:nvSpPr>
        <xdr:cNvPr id="9" name="TextBox 8">
          <a:extLst>
            <a:ext uri="{FF2B5EF4-FFF2-40B4-BE49-F238E27FC236}">
              <a16:creationId xmlns:a16="http://schemas.microsoft.com/office/drawing/2014/main" id="{FF483F9F-72D2-4FE2-B90C-9435D8593B06}"/>
            </a:ext>
          </a:extLst>
        </xdr:cNvPr>
        <xdr:cNvSpPr txBox="1"/>
      </xdr:nvSpPr>
      <xdr:spPr>
        <a:xfrm>
          <a:off x="777240" y="1935480"/>
          <a:ext cx="7848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Amount</a:t>
          </a:r>
        </a:p>
      </xdr:txBody>
    </xdr:sp>
    <xdr:clientData/>
  </xdr:twoCellAnchor>
  <xdr:twoCellAnchor>
    <xdr:from>
      <xdr:col>2</xdr:col>
      <xdr:colOff>281940</xdr:colOff>
      <xdr:row>14</xdr:row>
      <xdr:rowOff>30480</xdr:rowOff>
    </xdr:from>
    <xdr:to>
      <xdr:col>3</xdr:col>
      <xdr:colOff>335280</xdr:colOff>
      <xdr:row>15</xdr:row>
      <xdr:rowOff>68580</xdr:rowOff>
    </xdr:to>
    <xdr:sp macro="" textlink="pivot!B10">
      <xdr:nvSpPr>
        <xdr:cNvPr id="10" name="TextBox 9">
          <a:extLst>
            <a:ext uri="{FF2B5EF4-FFF2-40B4-BE49-F238E27FC236}">
              <a16:creationId xmlns:a16="http://schemas.microsoft.com/office/drawing/2014/main" id="{808228D5-4A0F-4EDB-9732-D6AC43F901E6}"/>
            </a:ext>
          </a:extLst>
        </xdr:cNvPr>
        <xdr:cNvSpPr txBox="1"/>
      </xdr:nvSpPr>
      <xdr:spPr>
        <a:xfrm>
          <a:off x="723900" y="2590800"/>
          <a:ext cx="7239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BB5227-FBFC-4959-98AF-33443B26AD3E}" type="TxLink">
            <a:rPr lang="en-US" sz="1100" b="0" i="0" u="none" strike="noStrike">
              <a:solidFill>
                <a:schemeClr val="bg1"/>
              </a:solidFill>
              <a:latin typeface="Aptos"/>
              <a:ea typeface="+mn-ea"/>
              <a:cs typeface="+mn-cs"/>
            </a:rPr>
            <a:pPr marL="0" indent="0" algn="ctr"/>
            <a:t>$96,623</a:t>
          </a:fld>
          <a:endParaRPr lang="en-IN" sz="1100" b="0" i="0" u="none" strike="noStrike">
            <a:solidFill>
              <a:schemeClr val="bg1"/>
            </a:solidFill>
            <a:latin typeface="Aptos"/>
            <a:ea typeface="+mn-ea"/>
            <a:cs typeface="+mn-cs"/>
          </a:endParaRPr>
        </a:p>
      </xdr:txBody>
    </xdr:sp>
    <xdr:clientData/>
  </xdr:twoCellAnchor>
  <xdr:twoCellAnchor>
    <xdr:from>
      <xdr:col>2</xdr:col>
      <xdr:colOff>0</xdr:colOff>
      <xdr:row>18</xdr:row>
      <xdr:rowOff>0</xdr:rowOff>
    </xdr:from>
    <xdr:to>
      <xdr:col>4</xdr:col>
      <xdr:colOff>0</xdr:colOff>
      <xdr:row>23</xdr:row>
      <xdr:rowOff>0</xdr:rowOff>
    </xdr:to>
    <xdr:sp macro="" textlink="pivot!C4">
      <xdr:nvSpPr>
        <xdr:cNvPr id="24" name="Rectangle 23">
          <a:extLst>
            <a:ext uri="{FF2B5EF4-FFF2-40B4-BE49-F238E27FC236}">
              <a16:creationId xmlns:a16="http://schemas.microsoft.com/office/drawing/2014/main" id="{B3F1B522-FDCF-4253-BFE1-C80F26429755}"/>
            </a:ext>
          </a:extLst>
        </xdr:cNvPr>
        <xdr:cNvSpPr/>
      </xdr:nvSpPr>
      <xdr:spPr>
        <a:xfrm>
          <a:off x="441960" y="3291840"/>
          <a:ext cx="1341120" cy="109728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7030F60-EA5B-4723-91F4-1982DCD29756}" type="TxLink">
            <a:rPr lang="en-US" sz="1800" b="0" i="0" u="none" strike="noStrike">
              <a:solidFill>
                <a:schemeClr val="bg1"/>
              </a:solidFill>
              <a:latin typeface="+mj-lt"/>
              <a:ea typeface="+mn-ea"/>
              <a:cs typeface="+mn-cs"/>
            </a:rPr>
            <a:pPr marL="0" indent="0" algn="ctr"/>
            <a:t>89,850</a:t>
          </a:fld>
          <a:endParaRPr lang="en-IN" sz="1800" b="0" i="0" u="none" strike="noStrike">
            <a:solidFill>
              <a:schemeClr val="bg1"/>
            </a:solidFill>
            <a:latin typeface="+mj-lt"/>
            <a:ea typeface="+mn-ea"/>
            <a:cs typeface="+mn-cs"/>
          </a:endParaRPr>
        </a:p>
      </xdr:txBody>
    </xdr:sp>
    <xdr:clientData/>
  </xdr:twoCellAnchor>
  <xdr:twoCellAnchor>
    <xdr:from>
      <xdr:col>2</xdr:col>
      <xdr:colOff>335280</xdr:colOff>
      <xdr:row>18</xdr:row>
      <xdr:rowOff>106680</xdr:rowOff>
    </xdr:from>
    <xdr:to>
      <xdr:col>3</xdr:col>
      <xdr:colOff>449580</xdr:colOff>
      <xdr:row>19</xdr:row>
      <xdr:rowOff>0</xdr:rowOff>
    </xdr:to>
    <xdr:sp macro="" textlink="">
      <xdr:nvSpPr>
        <xdr:cNvPr id="25" name="TextBox 24">
          <a:extLst>
            <a:ext uri="{FF2B5EF4-FFF2-40B4-BE49-F238E27FC236}">
              <a16:creationId xmlns:a16="http://schemas.microsoft.com/office/drawing/2014/main" id="{DCDB73D8-9660-4CAE-AEA4-BB11A7F5EBEA}"/>
            </a:ext>
          </a:extLst>
        </xdr:cNvPr>
        <xdr:cNvSpPr txBox="1"/>
      </xdr:nvSpPr>
      <xdr:spPr>
        <a:xfrm>
          <a:off x="777240" y="3398520"/>
          <a:ext cx="78486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Duration</a:t>
          </a:r>
        </a:p>
      </xdr:txBody>
    </xdr:sp>
    <xdr:clientData/>
  </xdr:twoCellAnchor>
  <xdr:twoCellAnchor>
    <xdr:from>
      <xdr:col>2</xdr:col>
      <xdr:colOff>228600</xdr:colOff>
      <xdr:row>21</xdr:row>
      <xdr:rowOff>7620</xdr:rowOff>
    </xdr:from>
    <xdr:to>
      <xdr:col>3</xdr:col>
      <xdr:colOff>358140</xdr:colOff>
      <xdr:row>22</xdr:row>
      <xdr:rowOff>76200</xdr:rowOff>
    </xdr:to>
    <xdr:sp macro="" textlink="pivot!C10">
      <xdr:nvSpPr>
        <xdr:cNvPr id="26" name="TextBox 25">
          <a:extLst>
            <a:ext uri="{FF2B5EF4-FFF2-40B4-BE49-F238E27FC236}">
              <a16:creationId xmlns:a16="http://schemas.microsoft.com/office/drawing/2014/main" id="{C38DBFD4-92E7-4EBF-9959-AB03A03C3F10}"/>
            </a:ext>
          </a:extLst>
        </xdr:cNvPr>
        <xdr:cNvSpPr txBox="1"/>
      </xdr:nvSpPr>
      <xdr:spPr>
        <a:xfrm>
          <a:off x="670560" y="4030980"/>
          <a:ext cx="8001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0B07FB-2A56-491B-A22A-E1D9B552879F}" type="TxLink">
            <a:rPr lang="en-US" sz="1100" b="0" i="0" u="none" strike="noStrike">
              <a:solidFill>
                <a:schemeClr val="bg1"/>
              </a:solidFill>
              <a:latin typeface="Aptos"/>
              <a:ea typeface="+mn-ea"/>
              <a:cs typeface="+mn-cs"/>
            </a:rPr>
            <a:pPr marL="0" indent="0" algn="ctr"/>
            <a:t>89,850</a:t>
          </a:fld>
          <a:endParaRPr lang="en-IN" sz="1100" b="0" i="0" u="none" strike="noStrike">
            <a:solidFill>
              <a:schemeClr val="bg1"/>
            </a:solidFill>
            <a:latin typeface="Aptos"/>
            <a:ea typeface="+mn-ea"/>
            <a:cs typeface="+mn-cs"/>
          </a:endParaRPr>
        </a:p>
      </xdr:txBody>
    </xdr:sp>
    <xdr:clientData/>
  </xdr:twoCellAnchor>
  <xdr:twoCellAnchor>
    <xdr:from>
      <xdr:col>2</xdr:col>
      <xdr:colOff>0</xdr:colOff>
      <xdr:row>25</xdr:row>
      <xdr:rowOff>0</xdr:rowOff>
    </xdr:from>
    <xdr:to>
      <xdr:col>4</xdr:col>
      <xdr:colOff>0</xdr:colOff>
      <xdr:row>31</xdr:row>
      <xdr:rowOff>0</xdr:rowOff>
    </xdr:to>
    <xdr:sp macro="" textlink="pivot!D4">
      <xdr:nvSpPr>
        <xdr:cNvPr id="28" name="Rectangle 27">
          <a:extLst>
            <a:ext uri="{FF2B5EF4-FFF2-40B4-BE49-F238E27FC236}">
              <a16:creationId xmlns:a16="http://schemas.microsoft.com/office/drawing/2014/main" id="{D3808F17-2123-4DE4-8DB5-2F6041152B1E}"/>
            </a:ext>
          </a:extLst>
        </xdr:cNvPr>
        <xdr:cNvSpPr/>
      </xdr:nvSpPr>
      <xdr:spPr>
        <a:xfrm>
          <a:off x="441960" y="4754880"/>
          <a:ext cx="1341120" cy="109728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6022AE-8EEF-4A86-B6AA-DF366CA0EBC1}" type="TxLink">
            <a:rPr lang="en-US" sz="1800" b="0" i="0" u="none" strike="noStrike">
              <a:solidFill>
                <a:schemeClr val="bg1"/>
              </a:solidFill>
              <a:latin typeface="+mj-lt"/>
              <a:ea typeface="+mn-ea"/>
              <a:cs typeface="+mn-cs"/>
            </a:rPr>
            <a:pPr marL="0" indent="0" algn="ctr"/>
            <a:t>3.9</a:t>
          </a:fld>
          <a:endParaRPr lang="en-IN" sz="1800" b="0" i="0" u="none" strike="noStrike">
            <a:solidFill>
              <a:schemeClr val="bg1"/>
            </a:solidFill>
            <a:latin typeface="+mj-lt"/>
            <a:ea typeface="+mn-ea"/>
            <a:cs typeface="+mn-cs"/>
          </a:endParaRPr>
        </a:p>
      </xdr:txBody>
    </xdr:sp>
    <xdr:clientData/>
  </xdr:twoCellAnchor>
  <xdr:twoCellAnchor>
    <xdr:from>
      <xdr:col>2</xdr:col>
      <xdr:colOff>335280</xdr:colOff>
      <xdr:row>25</xdr:row>
      <xdr:rowOff>106680</xdr:rowOff>
    </xdr:from>
    <xdr:to>
      <xdr:col>3</xdr:col>
      <xdr:colOff>449580</xdr:colOff>
      <xdr:row>26</xdr:row>
      <xdr:rowOff>83820</xdr:rowOff>
    </xdr:to>
    <xdr:sp macro="" textlink="">
      <xdr:nvSpPr>
        <xdr:cNvPr id="29" name="TextBox 28">
          <a:extLst>
            <a:ext uri="{FF2B5EF4-FFF2-40B4-BE49-F238E27FC236}">
              <a16:creationId xmlns:a16="http://schemas.microsoft.com/office/drawing/2014/main" id="{B1D6D766-C3A7-4F63-9FEA-9B496372AD6F}"/>
            </a:ext>
          </a:extLst>
        </xdr:cNvPr>
        <xdr:cNvSpPr txBox="1"/>
      </xdr:nvSpPr>
      <xdr:spPr>
        <a:xfrm>
          <a:off x="777240" y="4861560"/>
          <a:ext cx="7848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Avg</a:t>
          </a:r>
          <a:r>
            <a:rPr lang="en-IN" sz="1100" baseline="0">
              <a:solidFill>
                <a:schemeClr val="bg1"/>
              </a:solidFill>
            </a:rPr>
            <a:t> rating</a:t>
          </a:r>
          <a:endParaRPr lang="en-IN" sz="1100">
            <a:solidFill>
              <a:schemeClr val="bg1"/>
            </a:solidFill>
          </a:endParaRPr>
        </a:p>
      </xdr:txBody>
    </xdr:sp>
    <xdr:clientData/>
  </xdr:twoCellAnchor>
  <xdr:twoCellAnchor>
    <xdr:from>
      <xdr:col>2</xdr:col>
      <xdr:colOff>388620</xdr:colOff>
      <xdr:row>29</xdr:row>
      <xdr:rowOff>30480</xdr:rowOff>
    </xdr:from>
    <xdr:to>
      <xdr:col>3</xdr:col>
      <xdr:colOff>251460</xdr:colOff>
      <xdr:row>30</xdr:row>
      <xdr:rowOff>0</xdr:rowOff>
    </xdr:to>
    <xdr:sp macro="" textlink="pivot!D10">
      <xdr:nvSpPr>
        <xdr:cNvPr id="30" name="TextBox 29">
          <a:extLst>
            <a:ext uri="{FF2B5EF4-FFF2-40B4-BE49-F238E27FC236}">
              <a16:creationId xmlns:a16="http://schemas.microsoft.com/office/drawing/2014/main" id="{6F47541D-80B9-4906-BEE8-55862222128D}"/>
            </a:ext>
          </a:extLst>
        </xdr:cNvPr>
        <xdr:cNvSpPr txBox="1"/>
      </xdr:nvSpPr>
      <xdr:spPr>
        <a:xfrm>
          <a:off x="830580" y="5516880"/>
          <a:ext cx="53340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D9D56CD-CC4D-42D2-B78C-1CBC64991849}" type="TxLink">
            <a:rPr lang="en-US" sz="1100" b="0" i="0" u="none" strike="noStrike">
              <a:solidFill>
                <a:schemeClr val="bg1"/>
              </a:solidFill>
              <a:latin typeface="Aptos"/>
              <a:ea typeface="+mn-ea"/>
              <a:cs typeface="+mn-cs"/>
            </a:rPr>
            <a:pPr marL="0" indent="0" algn="ctr"/>
            <a:t>3.9</a:t>
          </a:fld>
          <a:endParaRPr lang="en-IN" sz="1100" b="0" i="0" u="none" strike="noStrike">
            <a:solidFill>
              <a:schemeClr val="bg1"/>
            </a:solidFill>
            <a:latin typeface="Aptos"/>
            <a:ea typeface="+mn-ea"/>
            <a:cs typeface="+mn-cs"/>
          </a:endParaRPr>
        </a:p>
      </xdr:txBody>
    </xdr:sp>
    <xdr:clientData/>
  </xdr:twoCellAnchor>
  <xdr:twoCellAnchor>
    <xdr:from>
      <xdr:col>2</xdr:col>
      <xdr:colOff>0</xdr:colOff>
      <xdr:row>33</xdr:row>
      <xdr:rowOff>0</xdr:rowOff>
    </xdr:from>
    <xdr:to>
      <xdr:col>4</xdr:col>
      <xdr:colOff>0</xdr:colOff>
      <xdr:row>39</xdr:row>
      <xdr:rowOff>0</xdr:rowOff>
    </xdr:to>
    <xdr:sp macro="" textlink="pivot!E4">
      <xdr:nvSpPr>
        <xdr:cNvPr id="32" name="Rectangle 31">
          <a:extLst>
            <a:ext uri="{FF2B5EF4-FFF2-40B4-BE49-F238E27FC236}">
              <a16:creationId xmlns:a16="http://schemas.microsoft.com/office/drawing/2014/main" id="{57F30DFE-6599-4DE7-9C8F-757075550231}"/>
            </a:ext>
          </a:extLst>
        </xdr:cNvPr>
        <xdr:cNvSpPr/>
      </xdr:nvSpPr>
      <xdr:spPr>
        <a:xfrm>
          <a:off x="441960" y="6217920"/>
          <a:ext cx="1341120" cy="109728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4A80017-616B-43CF-8DB3-C80A35B444EE}" type="TxLink">
            <a:rPr lang="en-US" sz="1800" b="0" i="0" u="none" strike="noStrike">
              <a:solidFill>
                <a:schemeClr val="bg1"/>
              </a:solidFill>
              <a:latin typeface="+mj-lt"/>
              <a:ea typeface="+mn-ea"/>
              <a:cs typeface="+mn-cs"/>
            </a:rPr>
            <a:pPr marL="0" indent="0" algn="ctr"/>
            <a:t>307</a:t>
          </a:fld>
          <a:endParaRPr lang="en-IN" sz="1800" b="0" i="0" u="none" strike="noStrike">
            <a:solidFill>
              <a:schemeClr val="bg1"/>
            </a:solidFill>
            <a:latin typeface="+mj-lt"/>
            <a:ea typeface="+mn-ea"/>
            <a:cs typeface="+mn-cs"/>
          </a:endParaRPr>
        </a:p>
      </xdr:txBody>
    </xdr:sp>
    <xdr:clientData/>
  </xdr:twoCellAnchor>
  <xdr:twoCellAnchor>
    <xdr:from>
      <xdr:col>2</xdr:col>
      <xdr:colOff>335280</xdr:colOff>
      <xdr:row>33</xdr:row>
      <xdr:rowOff>106680</xdr:rowOff>
    </xdr:from>
    <xdr:to>
      <xdr:col>3</xdr:col>
      <xdr:colOff>449580</xdr:colOff>
      <xdr:row>34</xdr:row>
      <xdr:rowOff>83820</xdr:rowOff>
    </xdr:to>
    <xdr:sp macro="" textlink="">
      <xdr:nvSpPr>
        <xdr:cNvPr id="33" name="TextBox 32">
          <a:extLst>
            <a:ext uri="{FF2B5EF4-FFF2-40B4-BE49-F238E27FC236}">
              <a16:creationId xmlns:a16="http://schemas.microsoft.com/office/drawing/2014/main" id="{A411D3E7-79E7-4801-BD1A-2029B255E3B7}"/>
            </a:ext>
          </a:extLst>
        </xdr:cNvPr>
        <xdr:cNvSpPr txBox="1"/>
      </xdr:nvSpPr>
      <xdr:spPr>
        <a:xfrm>
          <a:off x="777240" y="6324600"/>
          <a:ext cx="7848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5* Rating</a:t>
          </a:r>
        </a:p>
      </xdr:txBody>
    </xdr:sp>
    <xdr:clientData/>
  </xdr:twoCellAnchor>
  <xdr:twoCellAnchor>
    <xdr:from>
      <xdr:col>2</xdr:col>
      <xdr:colOff>381000</xdr:colOff>
      <xdr:row>37</xdr:row>
      <xdr:rowOff>30480</xdr:rowOff>
    </xdr:from>
    <xdr:to>
      <xdr:col>3</xdr:col>
      <xdr:colOff>243840</xdr:colOff>
      <xdr:row>38</xdr:row>
      <xdr:rowOff>45720</xdr:rowOff>
    </xdr:to>
    <xdr:sp macro="" textlink="pivot!E10">
      <xdr:nvSpPr>
        <xdr:cNvPr id="34" name="TextBox 33">
          <a:extLst>
            <a:ext uri="{FF2B5EF4-FFF2-40B4-BE49-F238E27FC236}">
              <a16:creationId xmlns:a16="http://schemas.microsoft.com/office/drawing/2014/main" id="{6EF0E6D4-C149-4974-B612-7FB531901C8D}"/>
            </a:ext>
          </a:extLst>
        </xdr:cNvPr>
        <xdr:cNvSpPr txBox="1"/>
      </xdr:nvSpPr>
      <xdr:spPr>
        <a:xfrm>
          <a:off x="822960" y="6979920"/>
          <a:ext cx="5334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43AA92-1F75-4BF0-A5C6-7C38EA3E81A4}" type="TxLink">
            <a:rPr lang="en-US" sz="1100" b="0" i="0" u="none" strike="noStrike">
              <a:solidFill>
                <a:schemeClr val="bg1"/>
              </a:solidFill>
              <a:latin typeface="Aptos"/>
              <a:ea typeface="+mn-ea"/>
              <a:cs typeface="+mn-cs"/>
            </a:rPr>
            <a:pPr marL="0" indent="0" algn="ctr"/>
            <a:t>307</a:t>
          </a:fld>
          <a:endParaRPr lang="en-IN" sz="1100" b="0" i="0" u="none" strike="noStrike">
            <a:solidFill>
              <a:schemeClr val="bg1"/>
            </a:solidFill>
            <a:latin typeface="Aptos"/>
            <a:ea typeface="+mn-ea"/>
            <a:cs typeface="+mn-cs"/>
          </a:endParaRPr>
        </a:p>
      </xdr:txBody>
    </xdr:sp>
    <xdr:clientData/>
  </xdr:twoCellAnchor>
  <xdr:twoCellAnchor editAs="oneCell">
    <xdr:from>
      <xdr:col>2</xdr:col>
      <xdr:colOff>175260</xdr:colOff>
      <xdr:row>10</xdr:row>
      <xdr:rowOff>106680</xdr:rowOff>
    </xdr:from>
    <xdr:to>
      <xdr:col>2</xdr:col>
      <xdr:colOff>394548</xdr:colOff>
      <xdr:row>11</xdr:row>
      <xdr:rowOff>83820</xdr:rowOff>
    </xdr:to>
    <xdr:pic>
      <xdr:nvPicPr>
        <xdr:cNvPr id="36" name="Graphic 35" descr="Shopping cart with solid fill">
          <a:extLst>
            <a:ext uri="{FF2B5EF4-FFF2-40B4-BE49-F238E27FC236}">
              <a16:creationId xmlns:a16="http://schemas.microsoft.com/office/drawing/2014/main" id="{19F994BC-0387-44EC-9737-A26EDB466C2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7220" y="1935480"/>
          <a:ext cx="219288" cy="160020"/>
        </a:xfrm>
        <a:prstGeom prst="rect">
          <a:avLst/>
        </a:prstGeom>
      </xdr:spPr>
    </xdr:pic>
    <xdr:clientData/>
  </xdr:twoCellAnchor>
  <xdr:twoCellAnchor editAs="oneCell">
    <xdr:from>
      <xdr:col>2</xdr:col>
      <xdr:colOff>190500</xdr:colOff>
      <xdr:row>18</xdr:row>
      <xdr:rowOff>114301</xdr:rowOff>
    </xdr:from>
    <xdr:to>
      <xdr:col>2</xdr:col>
      <xdr:colOff>432288</xdr:colOff>
      <xdr:row>19</xdr:row>
      <xdr:rowOff>121920</xdr:rowOff>
    </xdr:to>
    <xdr:pic>
      <xdr:nvPicPr>
        <xdr:cNvPr id="37" name="Graphic 36" descr="Hourglass Finished with solid fill">
          <a:extLst>
            <a:ext uri="{FF2B5EF4-FFF2-40B4-BE49-F238E27FC236}">
              <a16:creationId xmlns:a16="http://schemas.microsoft.com/office/drawing/2014/main" id="{E1853513-9E40-48D5-9636-76653FB1336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32460" y="3406141"/>
          <a:ext cx="241788" cy="190499"/>
        </a:xfrm>
        <a:prstGeom prst="rect">
          <a:avLst/>
        </a:prstGeom>
      </xdr:spPr>
    </xdr:pic>
    <xdr:clientData/>
  </xdr:twoCellAnchor>
  <xdr:twoCellAnchor editAs="oneCell">
    <xdr:from>
      <xdr:col>2</xdr:col>
      <xdr:colOff>114299</xdr:colOff>
      <xdr:row>25</xdr:row>
      <xdr:rowOff>83819</xdr:rowOff>
    </xdr:from>
    <xdr:to>
      <xdr:col>2</xdr:col>
      <xdr:colOff>388620</xdr:colOff>
      <xdr:row>26</xdr:row>
      <xdr:rowOff>83820</xdr:rowOff>
    </xdr:to>
    <xdr:pic>
      <xdr:nvPicPr>
        <xdr:cNvPr id="38" name="Graphic 37" descr="Rating Star with solid fill">
          <a:extLst>
            <a:ext uri="{FF2B5EF4-FFF2-40B4-BE49-F238E27FC236}">
              <a16:creationId xmlns:a16="http://schemas.microsoft.com/office/drawing/2014/main" id="{EB8037E2-2392-4959-9B2D-EB8A867DC24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556259" y="4838699"/>
          <a:ext cx="274321" cy="182881"/>
        </a:xfrm>
        <a:prstGeom prst="rect">
          <a:avLst/>
        </a:prstGeom>
      </xdr:spPr>
    </xdr:pic>
    <xdr:clientData/>
  </xdr:twoCellAnchor>
  <xdr:twoCellAnchor editAs="oneCell">
    <xdr:from>
      <xdr:col>2</xdr:col>
      <xdr:colOff>106680</xdr:colOff>
      <xdr:row>33</xdr:row>
      <xdr:rowOff>106681</xdr:rowOff>
    </xdr:from>
    <xdr:to>
      <xdr:col>2</xdr:col>
      <xdr:colOff>313944</xdr:colOff>
      <xdr:row>34</xdr:row>
      <xdr:rowOff>76200</xdr:rowOff>
    </xdr:to>
    <xdr:pic>
      <xdr:nvPicPr>
        <xdr:cNvPr id="39" name="Graphic 38" descr="Star-struck face outline with solid fill">
          <a:extLst>
            <a:ext uri="{FF2B5EF4-FFF2-40B4-BE49-F238E27FC236}">
              <a16:creationId xmlns:a16="http://schemas.microsoft.com/office/drawing/2014/main" id="{4311566F-3A17-471C-95D8-659B1FBE9EB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8640" y="6324601"/>
          <a:ext cx="207264" cy="152399"/>
        </a:xfrm>
        <a:prstGeom prst="rect">
          <a:avLst/>
        </a:prstGeom>
      </xdr:spPr>
    </xdr:pic>
    <xdr:clientData/>
  </xdr:twoCellAnchor>
  <xdr:twoCellAnchor>
    <xdr:from>
      <xdr:col>11</xdr:col>
      <xdr:colOff>175260</xdr:colOff>
      <xdr:row>3</xdr:row>
      <xdr:rowOff>45720</xdr:rowOff>
    </xdr:from>
    <xdr:to>
      <xdr:col>14</xdr:col>
      <xdr:colOff>213360</xdr:colOff>
      <xdr:row>14</xdr:row>
      <xdr:rowOff>121920</xdr:rowOff>
    </xdr:to>
    <xdr:graphicFrame macro="">
      <xdr:nvGraphicFramePr>
        <xdr:cNvPr id="42" name="Chart 41">
          <a:extLst>
            <a:ext uri="{FF2B5EF4-FFF2-40B4-BE49-F238E27FC236}">
              <a16:creationId xmlns:a16="http://schemas.microsoft.com/office/drawing/2014/main" id="{F119B871-F648-4B19-B327-F6B276FD2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1</xdr:row>
      <xdr:rowOff>160020</xdr:rowOff>
    </xdr:from>
    <xdr:to>
      <xdr:col>11</xdr:col>
      <xdr:colOff>198120</xdr:colOff>
      <xdr:row>16</xdr:row>
      <xdr:rowOff>0</xdr:rowOff>
    </xdr:to>
    <xdr:graphicFrame macro="">
      <xdr:nvGraphicFramePr>
        <xdr:cNvPr id="41" name="Chart 40">
          <a:extLst>
            <a:ext uri="{FF2B5EF4-FFF2-40B4-BE49-F238E27FC236}">
              <a16:creationId xmlns:a16="http://schemas.microsoft.com/office/drawing/2014/main" id="{D301F9A6-7596-4799-B6C3-15EEEA175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15240</xdr:colOff>
      <xdr:row>18</xdr:row>
      <xdr:rowOff>22860</xdr:rowOff>
    </xdr:from>
    <xdr:to>
      <xdr:col>9</xdr:col>
      <xdr:colOff>152400</xdr:colOff>
      <xdr:row>38</xdr:row>
      <xdr:rowOff>88348</xdr:rowOff>
    </xdr:to>
    <xdr:graphicFrame macro="">
      <xdr:nvGraphicFramePr>
        <xdr:cNvPr id="11" name="Chart 10">
          <a:extLst>
            <a:ext uri="{FF2B5EF4-FFF2-40B4-BE49-F238E27FC236}">
              <a16:creationId xmlns:a16="http://schemas.microsoft.com/office/drawing/2014/main" id="{82C5C2A6-7865-48FB-853F-B269762BC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905566</xdr:colOff>
      <xdr:row>2</xdr:row>
      <xdr:rowOff>0</xdr:rowOff>
    </xdr:from>
    <xdr:to>
      <xdr:col>21</xdr:col>
      <xdr:colOff>251460</xdr:colOff>
      <xdr:row>16</xdr:row>
      <xdr:rowOff>0</xdr:rowOff>
    </xdr:to>
    <xdr:graphicFrame macro="">
      <xdr:nvGraphicFramePr>
        <xdr:cNvPr id="14" name="Chart 13">
          <a:extLst>
            <a:ext uri="{FF2B5EF4-FFF2-40B4-BE49-F238E27FC236}">
              <a16:creationId xmlns:a16="http://schemas.microsoft.com/office/drawing/2014/main" id="{C8395E34-7771-4535-85F6-BA117A3F1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320040</xdr:colOff>
      <xdr:row>1</xdr:row>
      <xdr:rowOff>175260</xdr:rowOff>
    </xdr:from>
    <xdr:to>
      <xdr:col>25</xdr:col>
      <xdr:colOff>640080</xdr:colOff>
      <xdr:row>16</xdr:row>
      <xdr:rowOff>53340</xdr:rowOff>
    </xdr:to>
    <xdr:graphicFrame macro="">
      <xdr:nvGraphicFramePr>
        <xdr:cNvPr id="15" name="Chart 14">
          <a:extLst>
            <a:ext uri="{FF2B5EF4-FFF2-40B4-BE49-F238E27FC236}">
              <a16:creationId xmlns:a16="http://schemas.microsoft.com/office/drawing/2014/main" id="{06CE5355-16D6-4498-BEC6-30A346DCA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5898.090071643521" backgroundQuery="1" createdVersion="8" refreshedVersion="8" minRefreshableVersion="3" recordCount="0" supportSubquery="1" supportAdvancedDrill="1" xr:uid="{0E0E87AC-013B-4FA6-BA3E-F13B60ED188D}">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5898.090072685183" backgroundQuery="1" createdVersion="8" refreshedVersion="8" minRefreshableVersion="3" recordCount="0" supportSubquery="1" supportAdvancedDrill="1" xr:uid="{5BFAD774-DABE-4BCF-8692-C361633C7D30}">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Rating]" caption="5* Rating"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5964.896092939816" backgroundQuery="1" createdVersion="8" refreshedVersion="8" minRefreshableVersion="3" recordCount="0" supportSubquery="1" supportAdvancedDrill="1" xr:uid="{C5E2FE74-AAB9-4E9E-B945-8B4629666038}">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Rating]" caption="5* Rating"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5964.896093518517" backgroundQuery="1" createdVersion="8" refreshedVersion="8" minRefreshableVersion="3" recordCount="0" supportSubquery="1" supportAdvancedDrill="1" xr:uid="{F2EB606A-A21A-4230-87BF-71B383D60AF1}">
  <cacheSource type="external" connectionId="1"/>
  <cacheFields count="5">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2"/>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3"/>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5964.896093981479" backgroundQuery="1" createdVersion="8" refreshedVersion="8" minRefreshableVersion="3" recordCount="0" supportSubquery="1" supportAdvancedDrill="1" xr:uid="{490EEED9-8EDC-4420-BAE9-E4FFA5189D1A}">
  <cacheSource type="external" connectionId="1"/>
  <cacheFields count="1">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5964.896094444448" backgroundQuery="1" createdVersion="8" refreshedVersion="8" minRefreshableVersion="3" recordCount="0" supportSubquery="1" supportAdvancedDrill="1" xr:uid="{AC04E09B-5741-4C9F-BFA4-A05CA31A39F0}">
  <cacheSource type="external" connectionId="1"/>
  <cacheFields count="4">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5964.89609490741" backgroundQuery="1" createdVersion="8" refreshedVersion="8" minRefreshableVersion="3" recordCount="0" supportSubquery="1" supportAdvancedDrill="1" xr:uid="{BA889384-BE6D-482B-BFCC-0882534AD53E}">
  <cacheSource type="external" connectionId="1"/>
  <cacheFields count="3">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5964.89609548611" backgroundQuery="1" createdVersion="8" refreshedVersion="8" minRefreshableVersion="3" recordCount="0" supportSubquery="1" supportAdvancedDrill="1" xr:uid="{15E83E7B-6E18-42F3-AB86-192701370F8E}">
  <cacheSource type="external" connectionId="1"/>
  <cacheFields count="3">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5964.896096064818" backgroundQuery="1" createdVersion="8" refreshedVersion="8" minRefreshableVersion="3" recordCount="0" supportSubquery="1" supportAdvancedDrill="1" xr:uid="{E553E122-9C9D-4861-A873-B5E02E098302}">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5898.090347569443" backgroundQuery="1" createdVersion="3" refreshedVersion="8" minRefreshableVersion="3" recordCount="0" supportSubquery="1" supportAdvancedDrill="1" xr:uid="{52F23E16-D80C-4879-A744-18E1635B16EC}">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6967419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ACC82E-8964-46BA-90BC-E7A772E5C367}" name="PivotTable6" cacheId="13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5">
  <location ref="A105:G124"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8FB2AD-6FCA-4423-8EA4-C9A249DBFA55}" name=" weekly call count" cacheId="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G24:H32"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4">
    <chartFormat chart="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34CFE2-F3F6-475D-8F3F-C8594FA80E56}" name="Male vs female" cacheId="1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77:D82"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B4701E-D1B1-46B3-805D-18D19CDB1CC6}" name="monthly call count" cacheId="1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4:C37"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CF07FC-69D6-43D1-A5B0-4FCEE3A9C117}" name="Rep pivot" cacheId="1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68AF8E-9B04-44CA-9326-0F12FDD1BCAA}" name="rep satisfaction" cacheId="1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92:B99"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fld="0"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664D0D-2118-4927-B0E8-654722AA1A02}" name="selected rep" cacheId="12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62:A67"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3">
    <format dxfId="6">
      <pivotArea dataOnly="0" fieldPosition="0">
        <references count="1">
          <reference field="0" count="0"/>
        </references>
      </pivotArea>
    </format>
    <format dxfId="7">
      <pivotArea dataOnly="0" fieldPosition="0">
        <references count="1">
          <reference field="0" count="0"/>
        </references>
      </pivotArea>
    </format>
    <format dxfId="8">
      <pivotArea dataOnly="0"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8A626-75E4-44A7-8996-B3B9E6A852E9}"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1747CB-1CCB-46FF-9EFB-B269BD04B492}" name="Reps Pivot" cacheId="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52:C5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5">
    <i>
      <x/>
    </i>
    <i>
      <x v="1"/>
    </i>
    <i>
      <x v="2"/>
    </i>
    <i>
      <x v="3"/>
    </i>
    <i>
      <x v="4"/>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1.png"/><Relationship Id="rId1" Type="http://schemas.openxmlformats.org/officeDocument/2006/relationships/image" Target="../media/image10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B96FDAB-466A-425B-9FFB-30AD3301C4CF}" sourceName="[calls].[Representative]">
  <pivotTables>
    <pivotTable tabId="7" name="Rep pivot"/>
    <pivotTable tabId="7" name="monthly call count"/>
    <pivotTable tabId="7" name="selected rep"/>
    <pivotTable tabId="7" name="Male vs female"/>
    <pivotTable tabId="7" name="rep satisfaction"/>
    <pivotTable tabId="7" name=" weekly call count"/>
    <pivotTable tabId="7" name="PivotTable6"/>
  </pivotTables>
  <data>
    <olap pivotCacheId="169674193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780AEB3-C14D-4F52-8E76-CBC3F24B5279}" cache="Slicer_Representative" caption="Representative" level="1"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2"/>
    <tableColumn id="5" xr3:uid="{5A35565E-8707-4DED-AD15-A0669D67B382}" name="Date of Call" dataDxfId="21"/>
    <tableColumn id="6" xr3:uid="{F2E4F158-B41F-47BC-8DF8-DFCADFEE4E40}" name="Purchase Amount"/>
    <tableColumn id="7" xr3:uid="{04B291B5-47BD-4F78-8FD8-D1551CCA6BD9}" name="Satisfaction Rating"/>
    <tableColumn id="8" xr3:uid="{6E4123C0-0B17-43B8-A142-A1E540CE974C}" name="FY" dataDxfId="20">
      <calculatedColumnFormula>IF(MONTH(calls[[#This Row],[Date of Call]])&lt;=6, YEAR(calls[[#This Row],[Date of Call]]), YEAR(calls[[#This Row],[Date of Call]])+1)</calculatedColumnFormula>
    </tableColumn>
    <tableColumn id="9" xr3:uid="{199FA271-5E9B-46CE-9BC6-2801F92CD17E}" name="Day of week" dataDxfId="19">
      <calculatedColumnFormula>TEXT(calls[[#This Row],[Date of Call]],"DDDD")</calculatedColumnFormula>
    </tableColumn>
    <tableColumn id="10" xr3:uid="{328CDB09-95B8-4D5E-9ED9-EF0D363735A1}" name="Duration Bucket" dataDxfId="1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7">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6" headerRowBorderDxfId="15" tableBorderDxfId="14" totalsRowBorderDxfId="13">
  <autoFilter ref="Q3:T18" xr:uid="{27158F51-A707-4171-8A04-81FB0AABCBA5}"/>
  <tableColumns count="4">
    <tableColumn id="1" xr3:uid="{02688061-6A8C-4E23-B7FF-D00CD8B58CAC}" name="Customer ID" dataDxfId="12"/>
    <tableColumn id="2" xr3:uid="{771678B6-DB44-426B-9874-B4E421A440D5}" name="Gedner" dataDxfId="11"/>
    <tableColumn id="3" xr3:uid="{B0D41C62-587E-494D-B49A-603F2C05F8D3}" name="Age" dataDxfId="10"/>
    <tableColumn id="4" xr3:uid="{663F92D6-FE31-4D81-9E01-8D066DDC8A88}" name="City" dataDxfId="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1942-6EE1-496E-B1F8-A6FB00AECBA4}">
  <dimension ref="A3:O124"/>
  <sheetViews>
    <sheetView topLeftCell="A49" workbookViewId="0">
      <selection activeCell="N35" sqref="N35"/>
    </sheetView>
  </sheetViews>
  <sheetFormatPr defaultRowHeight="14.4" x14ac:dyDescent="0.3"/>
  <cols>
    <col min="1" max="1" width="12.19921875" bestFit="1" customWidth="1"/>
    <col min="2" max="2" width="15.19921875" bestFit="1" customWidth="1"/>
    <col min="3" max="6" width="6.3984375" bestFit="1" customWidth="1"/>
    <col min="7" max="7" width="10.3984375" bestFit="1" customWidth="1"/>
    <col min="8" max="8" width="9.19921875" bestFit="1" customWidth="1"/>
    <col min="9" max="9" width="17.19921875" customWidth="1"/>
    <col min="10" max="10" width="4.09765625" bestFit="1" customWidth="1"/>
    <col min="11" max="11" width="3.796875" bestFit="1" customWidth="1"/>
    <col min="12" max="12" width="4.09765625" bestFit="1" customWidth="1"/>
    <col min="13" max="13" width="4.19921875" bestFit="1" customWidth="1"/>
    <col min="14" max="14" width="10.3984375" bestFit="1" customWidth="1"/>
    <col min="15" max="150" width="10.09765625" bestFit="1" customWidth="1"/>
    <col min="151" max="151" width="10.3984375" bestFit="1" customWidth="1"/>
  </cols>
  <sheetData>
    <row r="3" spans="1:5" x14ac:dyDescent="0.3">
      <c r="A3" t="s">
        <v>1042</v>
      </c>
      <c r="B3" t="s">
        <v>1043</v>
      </c>
      <c r="C3" t="s">
        <v>1044</v>
      </c>
      <c r="D3" t="s">
        <v>1045</v>
      </c>
      <c r="E3" t="s">
        <v>1046</v>
      </c>
    </row>
    <row r="4" spans="1:5" x14ac:dyDescent="0.3">
      <c r="A4" s="22">
        <v>1000</v>
      </c>
      <c r="B4" s="23">
        <v>96623</v>
      </c>
      <c r="C4" s="22">
        <v>89850</v>
      </c>
      <c r="D4" s="24">
        <v>3.8854000000000033</v>
      </c>
      <c r="E4" s="22">
        <v>307</v>
      </c>
    </row>
    <row r="9" spans="1:5" x14ac:dyDescent="0.3">
      <c r="A9" t="s">
        <v>1042</v>
      </c>
      <c r="B9" t="s">
        <v>1043</v>
      </c>
      <c r="C9" t="s">
        <v>1044</v>
      </c>
      <c r="D9" t="s">
        <v>1045</v>
      </c>
      <c r="E9" t="s">
        <v>1046</v>
      </c>
    </row>
    <row r="10" spans="1:5" x14ac:dyDescent="0.3">
      <c r="A10" s="22">
        <v>1000</v>
      </c>
      <c r="B10" s="23">
        <v>96623</v>
      </c>
      <c r="C10" s="22">
        <v>89850</v>
      </c>
      <c r="D10" s="24">
        <v>3.8854000000000033</v>
      </c>
      <c r="E10" s="22">
        <v>307</v>
      </c>
    </row>
    <row r="24" spans="1:10" x14ac:dyDescent="0.3">
      <c r="A24" s="25" t="s">
        <v>1060</v>
      </c>
      <c r="B24" t="s">
        <v>1042</v>
      </c>
      <c r="C24" t="s">
        <v>1061</v>
      </c>
      <c r="G24" s="25" t="s">
        <v>1060</v>
      </c>
      <c r="H24" t="s">
        <v>1042</v>
      </c>
      <c r="J24" t="s">
        <v>1065</v>
      </c>
    </row>
    <row r="25" spans="1:10" x14ac:dyDescent="0.3">
      <c r="A25" s="26" t="s">
        <v>1048</v>
      </c>
      <c r="B25" s="22">
        <v>79</v>
      </c>
      <c r="C25" s="22">
        <v>79</v>
      </c>
      <c r="G25" s="26" t="s">
        <v>1062</v>
      </c>
      <c r="H25" s="22">
        <v>146</v>
      </c>
    </row>
    <row r="26" spans="1:10" x14ac:dyDescent="0.3">
      <c r="A26" s="26" t="s">
        <v>1049</v>
      </c>
      <c r="B26" s="22">
        <v>66</v>
      </c>
      <c r="C26" s="22">
        <v>66</v>
      </c>
      <c r="G26" s="26" t="s">
        <v>1067</v>
      </c>
      <c r="H26" s="22">
        <v>133</v>
      </c>
    </row>
    <row r="27" spans="1:10" x14ac:dyDescent="0.3">
      <c r="A27" s="26" t="s">
        <v>1050</v>
      </c>
      <c r="B27" s="22">
        <v>155</v>
      </c>
      <c r="C27" s="22">
        <v>155</v>
      </c>
      <c r="G27" s="26" t="s">
        <v>1068</v>
      </c>
      <c r="H27" s="22">
        <v>138</v>
      </c>
    </row>
    <row r="28" spans="1:10" x14ac:dyDescent="0.3">
      <c r="A28" s="26" t="s">
        <v>1051</v>
      </c>
      <c r="B28" s="22">
        <v>136</v>
      </c>
      <c r="C28" s="22">
        <v>136</v>
      </c>
      <c r="G28" s="26" t="s">
        <v>1069</v>
      </c>
      <c r="H28" s="22">
        <v>153</v>
      </c>
    </row>
    <row r="29" spans="1:10" x14ac:dyDescent="0.3">
      <c r="A29" s="26" t="s">
        <v>1052</v>
      </c>
      <c r="B29" s="22">
        <v>83</v>
      </c>
      <c r="C29" s="22">
        <v>83</v>
      </c>
      <c r="G29" s="26" t="s">
        <v>1064</v>
      </c>
      <c r="H29" s="22">
        <v>128</v>
      </c>
    </row>
    <row r="30" spans="1:10" x14ac:dyDescent="0.3">
      <c r="A30" s="26" t="s">
        <v>1053</v>
      </c>
      <c r="B30" s="22">
        <v>67</v>
      </c>
      <c r="C30" s="22">
        <v>67</v>
      </c>
      <c r="G30" s="26" t="s">
        <v>1066</v>
      </c>
      <c r="H30" s="22">
        <v>141</v>
      </c>
    </row>
    <row r="31" spans="1:10" x14ac:dyDescent="0.3">
      <c r="A31" s="26" t="s">
        <v>1054</v>
      </c>
      <c r="B31" s="22">
        <v>64</v>
      </c>
      <c r="C31" s="22">
        <v>64</v>
      </c>
      <c r="G31" s="26" t="s">
        <v>1063</v>
      </c>
      <c r="H31" s="22">
        <v>161</v>
      </c>
    </row>
    <row r="32" spans="1:10" x14ac:dyDescent="0.3">
      <c r="A32" s="26" t="s">
        <v>1055</v>
      </c>
      <c r="B32" s="22">
        <v>50</v>
      </c>
      <c r="C32" s="22">
        <v>50</v>
      </c>
      <c r="G32" s="26" t="s">
        <v>1047</v>
      </c>
      <c r="H32" s="22">
        <v>1000</v>
      </c>
    </row>
    <row r="33" spans="1:3" x14ac:dyDescent="0.3">
      <c r="A33" s="26" t="s">
        <v>1056</v>
      </c>
      <c r="B33" s="22">
        <v>76</v>
      </c>
      <c r="C33" s="22">
        <v>76</v>
      </c>
    </row>
    <row r="34" spans="1:3" x14ac:dyDescent="0.3">
      <c r="A34" s="26" t="s">
        <v>1057</v>
      </c>
      <c r="B34" s="22">
        <v>114</v>
      </c>
      <c r="C34" s="22">
        <v>114</v>
      </c>
    </row>
    <row r="35" spans="1:3" x14ac:dyDescent="0.3">
      <c r="A35" s="26" t="s">
        <v>1058</v>
      </c>
      <c r="B35" s="22">
        <v>57</v>
      </c>
      <c r="C35" s="22">
        <v>57</v>
      </c>
    </row>
    <row r="36" spans="1:3" x14ac:dyDescent="0.3">
      <c r="A36" s="26" t="s">
        <v>1059</v>
      </c>
      <c r="B36" s="22">
        <v>53</v>
      </c>
      <c r="C36" s="22">
        <v>53</v>
      </c>
    </row>
    <row r="37" spans="1:3" x14ac:dyDescent="0.3">
      <c r="A37" s="26" t="s">
        <v>1047</v>
      </c>
      <c r="B37" s="22">
        <v>1000</v>
      </c>
      <c r="C37" s="22">
        <v>1000</v>
      </c>
    </row>
    <row r="49" spans="1:9" x14ac:dyDescent="0.3">
      <c r="E49" t="s">
        <v>1070</v>
      </c>
      <c r="H49" t="s">
        <v>1076</v>
      </c>
      <c r="I49" t="str">
        <f>A63</f>
        <v>R01</v>
      </c>
    </row>
    <row r="51" spans="1:9" x14ac:dyDescent="0.3">
      <c r="E51" t="s">
        <v>1071</v>
      </c>
      <c r="F51" t="s">
        <v>1072</v>
      </c>
      <c r="G51" t="s">
        <v>1073</v>
      </c>
      <c r="H51" t="s">
        <v>1074</v>
      </c>
      <c r="I51" t="s">
        <v>1075</v>
      </c>
    </row>
    <row r="52" spans="1:9" x14ac:dyDescent="0.3">
      <c r="A52" s="25" t="s">
        <v>1060</v>
      </c>
      <c r="B52" t="s">
        <v>1042</v>
      </c>
      <c r="C52" t="s">
        <v>1043</v>
      </c>
      <c r="E52" t="str">
        <f>A53</f>
        <v>R01</v>
      </c>
      <c r="F52">
        <f>B53</f>
        <v>189</v>
      </c>
      <c r="G52" s="27">
        <f>C53</f>
        <v>18415</v>
      </c>
      <c r="H52">
        <f>IF(E52=$I$49,F52,NA())</f>
        <v>189</v>
      </c>
      <c r="I52">
        <f>IF(E52=$I$49,G52,NA())</f>
        <v>18415</v>
      </c>
    </row>
    <row r="53" spans="1:9" x14ac:dyDescent="0.3">
      <c r="A53" s="26" t="s">
        <v>11</v>
      </c>
      <c r="B53" s="22">
        <v>189</v>
      </c>
      <c r="C53" s="23">
        <v>18415</v>
      </c>
      <c r="E53" t="str">
        <f t="shared" ref="E53:F56" si="0">A54</f>
        <v>R02</v>
      </c>
      <c r="F53">
        <f t="shared" si="0"/>
        <v>218</v>
      </c>
      <c r="G53" s="27">
        <f>C54</f>
        <v>20581</v>
      </c>
      <c r="H53" t="e">
        <f>IF(E53=$I$49,F53,NA())</f>
        <v>#N/A</v>
      </c>
      <c r="I53" t="e">
        <f>IF(E53=$I$49,G53,NA())</f>
        <v>#N/A</v>
      </c>
    </row>
    <row r="54" spans="1:9" x14ac:dyDescent="0.3">
      <c r="A54" s="26" t="s">
        <v>9</v>
      </c>
      <c r="B54" s="22">
        <v>218</v>
      </c>
      <c r="C54" s="23">
        <v>20581</v>
      </c>
      <c r="E54" t="str">
        <f t="shared" si="0"/>
        <v>R03</v>
      </c>
      <c r="F54">
        <f t="shared" si="0"/>
        <v>207</v>
      </c>
      <c r="G54" s="27">
        <f>C55</f>
        <v>20872</v>
      </c>
      <c r="H54" t="e">
        <f>IF(E54=$I$49,F54,NA())</f>
        <v>#N/A</v>
      </c>
      <c r="I54" t="e">
        <f>IF(E54=$I$49,G54,NA())</f>
        <v>#N/A</v>
      </c>
    </row>
    <row r="55" spans="1:9" x14ac:dyDescent="0.3">
      <c r="A55" s="26" t="s">
        <v>6</v>
      </c>
      <c r="B55" s="22">
        <v>207</v>
      </c>
      <c r="C55" s="23">
        <v>20872</v>
      </c>
      <c r="E55" t="str">
        <f t="shared" si="0"/>
        <v>R04</v>
      </c>
      <c r="F55">
        <f t="shared" si="0"/>
        <v>186</v>
      </c>
      <c r="G55" s="27">
        <f>C56</f>
        <v>16651</v>
      </c>
      <c r="H55" t="e">
        <f>IF(E55=$I$49,F55,NA())</f>
        <v>#N/A</v>
      </c>
      <c r="I55" t="e">
        <f>IF(E55=$I$49,G55,NA())</f>
        <v>#N/A</v>
      </c>
    </row>
    <row r="56" spans="1:9" x14ac:dyDescent="0.3">
      <c r="A56" s="26" t="s">
        <v>13</v>
      </c>
      <c r="B56" s="22">
        <v>186</v>
      </c>
      <c r="C56" s="23">
        <v>16651</v>
      </c>
      <c r="E56" t="str">
        <f t="shared" si="0"/>
        <v>R05</v>
      </c>
      <c r="F56">
        <f t="shared" si="0"/>
        <v>200</v>
      </c>
      <c r="G56" s="27">
        <f>C57</f>
        <v>20104</v>
      </c>
      <c r="H56" t="e">
        <f>IF(E56=$I$49,F56,NA())</f>
        <v>#N/A</v>
      </c>
      <c r="I56" t="e">
        <f>IF(E56=$I$49,G56,NA())</f>
        <v>#N/A</v>
      </c>
    </row>
    <row r="57" spans="1:9" x14ac:dyDescent="0.3">
      <c r="A57" s="26" t="s">
        <v>10</v>
      </c>
      <c r="B57" s="22">
        <v>200</v>
      </c>
      <c r="C57" s="23">
        <v>20104</v>
      </c>
    </row>
    <row r="62" spans="1:9" x14ac:dyDescent="0.3">
      <c r="A62" s="25" t="s">
        <v>1060</v>
      </c>
    </row>
    <row r="63" spans="1:9" x14ac:dyDescent="0.3">
      <c r="A63" s="42" t="s">
        <v>11</v>
      </c>
    </row>
    <row r="64" spans="1:9" x14ac:dyDescent="0.3">
      <c r="A64" s="42" t="s">
        <v>9</v>
      </c>
    </row>
    <row r="65" spans="1:4" x14ac:dyDescent="0.3">
      <c r="A65" s="42" t="s">
        <v>6</v>
      </c>
    </row>
    <row r="66" spans="1:4" x14ac:dyDescent="0.3">
      <c r="A66" s="42" t="s">
        <v>13</v>
      </c>
    </row>
    <row r="67" spans="1:4" x14ac:dyDescent="0.3">
      <c r="A67" s="42" t="s">
        <v>10</v>
      </c>
    </row>
    <row r="77" spans="1:4" x14ac:dyDescent="0.3">
      <c r="A77" s="25" t="s">
        <v>1042</v>
      </c>
      <c r="B77" s="25" t="s">
        <v>1077</v>
      </c>
    </row>
    <row r="78" spans="1:4" x14ac:dyDescent="0.3">
      <c r="A78" s="25" t="s">
        <v>1060</v>
      </c>
      <c r="B78" t="s">
        <v>999</v>
      </c>
      <c r="C78" t="s">
        <v>998</v>
      </c>
      <c r="D78" t="s">
        <v>1047</v>
      </c>
    </row>
    <row r="79" spans="1:4" x14ac:dyDescent="0.3">
      <c r="A79" s="26" t="s">
        <v>1002</v>
      </c>
      <c r="B79" s="22">
        <v>144</v>
      </c>
      <c r="C79" s="22">
        <v>132</v>
      </c>
      <c r="D79" s="22">
        <v>276</v>
      </c>
    </row>
    <row r="80" spans="1:4" x14ac:dyDescent="0.3">
      <c r="A80" s="26" t="s">
        <v>1001</v>
      </c>
      <c r="B80" s="22">
        <v>326</v>
      </c>
      <c r="C80" s="22">
        <v>63</v>
      </c>
      <c r="D80" s="22">
        <v>389</v>
      </c>
    </row>
    <row r="81" spans="1:4" x14ac:dyDescent="0.3">
      <c r="A81" s="26" t="s">
        <v>1000</v>
      </c>
      <c r="B81" s="22">
        <v>129</v>
      </c>
      <c r="C81" s="22">
        <v>206</v>
      </c>
      <c r="D81" s="22">
        <v>335</v>
      </c>
    </row>
    <row r="82" spans="1:4" x14ac:dyDescent="0.3">
      <c r="A82" s="26" t="s">
        <v>1047</v>
      </c>
      <c r="B82" s="22">
        <v>599</v>
      </c>
      <c r="C82" s="22">
        <v>401</v>
      </c>
      <c r="D82" s="22">
        <v>1000</v>
      </c>
    </row>
    <row r="92" spans="1:4" x14ac:dyDescent="0.3">
      <c r="A92" s="25" t="s">
        <v>1060</v>
      </c>
      <c r="B92" t="s">
        <v>1042</v>
      </c>
    </row>
    <row r="93" spans="1:4" x14ac:dyDescent="0.3">
      <c r="A93" s="26">
        <v>0</v>
      </c>
      <c r="B93" s="22">
        <v>1</v>
      </c>
    </row>
    <row r="94" spans="1:4" x14ac:dyDescent="0.3">
      <c r="A94" s="26">
        <v>1</v>
      </c>
      <c r="B94" s="22">
        <v>8</v>
      </c>
    </row>
    <row r="95" spans="1:4" x14ac:dyDescent="0.3">
      <c r="A95" s="26">
        <v>2</v>
      </c>
      <c r="B95" s="22">
        <v>59</v>
      </c>
    </row>
    <row r="96" spans="1:4" x14ac:dyDescent="0.3">
      <c r="A96" s="26">
        <v>3</v>
      </c>
      <c r="B96" s="22">
        <v>197</v>
      </c>
    </row>
    <row r="97" spans="1:15" x14ac:dyDescent="0.3">
      <c r="A97" s="26">
        <v>4</v>
      </c>
      <c r="B97" s="22">
        <v>428</v>
      </c>
    </row>
    <row r="98" spans="1:15" x14ac:dyDescent="0.3">
      <c r="A98" s="26">
        <v>5</v>
      </c>
      <c r="B98" s="22">
        <v>307</v>
      </c>
    </row>
    <row r="99" spans="1:15" x14ac:dyDescent="0.3">
      <c r="A99" s="26" t="s">
        <v>1047</v>
      </c>
      <c r="B99" s="22">
        <v>1000</v>
      </c>
    </row>
    <row r="105" spans="1:15" x14ac:dyDescent="0.3">
      <c r="A105" s="25" t="s">
        <v>1043</v>
      </c>
      <c r="B105" s="25" t="s">
        <v>1077</v>
      </c>
    </row>
    <row r="106" spans="1:15" x14ac:dyDescent="0.3">
      <c r="A106" s="25" t="s">
        <v>1060</v>
      </c>
      <c r="B106" t="s">
        <v>11</v>
      </c>
      <c r="C106" t="s">
        <v>9</v>
      </c>
      <c r="D106" t="s">
        <v>6</v>
      </c>
      <c r="E106" t="s">
        <v>13</v>
      </c>
      <c r="F106" t="s">
        <v>10</v>
      </c>
      <c r="G106" t="s">
        <v>1047</v>
      </c>
      <c r="I106" t="str">
        <f>A107</f>
        <v>Cincinnati</v>
      </c>
      <c r="J106" t="str">
        <f t="shared" ref="J106:O106" si="1">B106</f>
        <v>R01</v>
      </c>
      <c r="K106" t="str">
        <f t="shared" si="1"/>
        <v>R02</v>
      </c>
      <c r="L106" t="str">
        <f t="shared" si="1"/>
        <v>R03</v>
      </c>
      <c r="M106" t="str">
        <f t="shared" si="1"/>
        <v>R04</v>
      </c>
      <c r="N106" t="str">
        <f t="shared" si="1"/>
        <v>R05</v>
      </c>
      <c r="O106" t="str">
        <f t="shared" si="1"/>
        <v>Grand Total</v>
      </c>
    </row>
    <row r="107" spans="1:15" x14ac:dyDescent="0.3">
      <c r="A107" s="26" t="s">
        <v>1002</v>
      </c>
      <c r="B107" s="43"/>
      <c r="C107" s="43"/>
      <c r="D107" s="43"/>
      <c r="E107" s="43"/>
      <c r="F107" s="43"/>
      <c r="G107" s="43"/>
      <c r="I107" t="str">
        <f t="shared" ref="I107:I124" si="2">A108</f>
        <v>C0003</v>
      </c>
      <c r="J107">
        <f t="shared" ref="J107:O107" si="3">B108</f>
        <v>891</v>
      </c>
      <c r="K107">
        <f t="shared" si="3"/>
        <v>1332</v>
      </c>
      <c r="L107">
        <f t="shared" si="3"/>
        <v>1282</v>
      </c>
      <c r="M107">
        <f t="shared" si="3"/>
        <v>739</v>
      </c>
      <c r="N107">
        <f t="shared" si="3"/>
        <v>560</v>
      </c>
      <c r="O107">
        <f t="shared" si="3"/>
        <v>4804</v>
      </c>
    </row>
    <row r="108" spans="1:15" x14ac:dyDescent="0.3">
      <c r="A108" s="28" t="s">
        <v>20</v>
      </c>
      <c r="B108" s="23">
        <v>891</v>
      </c>
      <c r="C108" s="23">
        <v>1332</v>
      </c>
      <c r="D108" s="23">
        <v>1282</v>
      </c>
      <c r="E108" s="23">
        <v>739</v>
      </c>
      <c r="F108" s="23">
        <v>560</v>
      </c>
      <c r="G108" s="23">
        <v>4804</v>
      </c>
      <c r="I108" t="str">
        <f t="shared" si="2"/>
        <v>C0004</v>
      </c>
    </row>
    <row r="109" spans="1:15" x14ac:dyDescent="0.3">
      <c r="A109" s="28" t="s">
        <v>12</v>
      </c>
      <c r="B109" s="23">
        <v>1991</v>
      </c>
      <c r="C109" s="23">
        <v>1886</v>
      </c>
      <c r="D109" s="23">
        <v>1206</v>
      </c>
      <c r="E109" s="23">
        <v>884</v>
      </c>
      <c r="F109" s="23">
        <v>1722</v>
      </c>
      <c r="G109" s="23">
        <v>7689</v>
      </c>
      <c r="I109" t="str">
        <f t="shared" si="2"/>
        <v>C0011</v>
      </c>
    </row>
    <row r="110" spans="1:15" x14ac:dyDescent="0.3">
      <c r="A110" s="28" t="s">
        <v>8</v>
      </c>
      <c r="B110" s="23">
        <v>1163</v>
      </c>
      <c r="C110" s="23">
        <v>1180</v>
      </c>
      <c r="D110" s="23">
        <v>1616</v>
      </c>
      <c r="E110" s="23">
        <v>1043</v>
      </c>
      <c r="F110" s="23">
        <v>1747</v>
      </c>
      <c r="G110" s="23">
        <v>6749</v>
      </c>
      <c r="I110" t="str">
        <f t="shared" si="2"/>
        <v>C0012</v>
      </c>
    </row>
    <row r="111" spans="1:15" x14ac:dyDescent="0.3">
      <c r="A111" s="28" t="s">
        <v>16</v>
      </c>
      <c r="B111" s="23">
        <v>1438</v>
      </c>
      <c r="C111" s="23">
        <v>1616</v>
      </c>
      <c r="D111" s="23">
        <v>866</v>
      </c>
      <c r="E111" s="23">
        <v>829</v>
      </c>
      <c r="F111" s="23">
        <v>2070</v>
      </c>
      <c r="G111" s="23">
        <v>6819</v>
      </c>
      <c r="I111" t="str">
        <f t="shared" si="2"/>
        <v>Cleveland</v>
      </c>
    </row>
    <row r="112" spans="1:15" x14ac:dyDescent="0.3">
      <c r="A112" s="26" t="s">
        <v>1001</v>
      </c>
      <c r="B112" s="43"/>
      <c r="C112" s="43"/>
      <c r="D112" s="43"/>
      <c r="E112" s="43"/>
      <c r="F112" s="43"/>
      <c r="G112" s="43"/>
      <c r="I112" t="str">
        <f t="shared" si="2"/>
        <v>C0002</v>
      </c>
    </row>
    <row r="113" spans="1:9" x14ac:dyDescent="0.3">
      <c r="A113" s="28" t="s">
        <v>24</v>
      </c>
      <c r="B113" s="23">
        <v>1233</v>
      </c>
      <c r="C113" s="23">
        <v>223</v>
      </c>
      <c r="D113" s="23">
        <v>1680</v>
      </c>
      <c r="E113" s="23">
        <v>990</v>
      </c>
      <c r="F113" s="23">
        <v>1508</v>
      </c>
      <c r="G113" s="23">
        <v>5634</v>
      </c>
      <c r="I113" t="str">
        <f t="shared" si="2"/>
        <v>C0007</v>
      </c>
    </row>
    <row r="114" spans="1:9" x14ac:dyDescent="0.3">
      <c r="A114" s="28" t="s">
        <v>15</v>
      </c>
      <c r="B114" s="23">
        <v>1598</v>
      </c>
      <c r="C114" s="23">
        <v>1907</v>
      </c>
      <c r="D114" s="23">
        <v>869</v>
      </c>
      <c r="E114" s="23">
        <v>1426</v>
      </c>
      <c r="F114" s="23">
        <v>1416</v>
      </c>
      <c r="G114" s="23">
        <v>7216</v>
      </c>
      <c r="I114" t="str">
        <f t="shared" si="2"/>
        <v>C0008</v>
      </c>
    </row>
    <row r="115" spans="1:9" x14ac:dyDescent="0.3">
      <c r="A115" s="28" t="s">
        <v>5</v>
      </c>
      <c r="B115" s="23">
        <v>900</v>
      </c>
      <c r="C115" s="23">
        <v>1016</v>
      </c>
      <c r="D115" s="23">
        <v>960</v>
      </c>
      <c r="E115" s="23">
        <v>940</v>
      </c>
      <c r="F115" s="23">
        <v>1193</v>
      </c>
      <c r="G115" s="23">
        <v>5009</v>
      </c>
      <c r="I115" t="str">
        <f t="shared" si="2"/>
        <v>C0010</v>
      </c>
    </row>
    <row r="116" spans="1:9" x14ac:dyDescent="0.3">
      <c r="A116" s="28" t="s">
        <v>18</v>
      </c>
      <c r="B116" s="23">
        <v>900</v>
      </c>
      <c r="C116" s="23">
        <v>1470</v>
      </c>
      <c r="D116" s="23">
        <v>1617</v>
      </c>
      <c r="E116" s="23">
        <v>1314</v>
      </c>
      <c r="F116" s="23">
        <v>941</v>
      </c>
      <c r="G116" s="23">
        <v>6242</v>
      </c>
      <c r="I116" t="str">
        <f t="shared" si="2"/>
        <v>C0013</v>
      </c>
    </row>
    <row r="117" spans="1:9" x14ac:dyDescent="0.3">
      <c r="A117" s="28" t="s">
        <v>14</v>
      </c>
      <c r="B117" s="23">
        <v>1255</v>
      </c>
      <c r="C117" s="23">
        <v>516</v>
      </c>
      <c r="D117" s="23">
        <v>1874</v>
      </c>
      <c r="E117" s="23">
        <v>1863</v>
      </c>
      <c r="F117" s="23">
        <v>1722</v>
      </c>
      <c r="G117" s="23">
        <v>7230</v>
      </c>
      <c r="I117" t="str">
        <f t="shared" si="2"/>
        <v>C0015</v>
      </c>
    </row>
    <row r="118" spans="1:9" x14ac:dyDescent="0.3">
      <c r="A118" s="28" t="s">
        <v>19</v>
      </c>
      <c r="B118" s="23">
        <v>1138</v>
      </c>
      <c r="C118" s="23">
        <v>1898</v>
      </c>
      <c r="D118" s="23">
        <v>1482</v>
      </c>
      <c r="E118" s="23">
        <v>846</v>
      </c>
      <c r="F118" s="23">
        <v>1154</v>
      </c>
      <c r="G118" s="23">
        <v>6518</v>
      </c>
      <c r="I118" t="str">
        <f t="shared" si="2"/>
        <v>Columbus</v>
      </c>
    </row>
    <row r="119" spans="1:9" x14ac:dyDescent="0.3">
      <c r="A119" s="26" t="s">
        <v>1000</v>
      </c>
      <c r="B119" s="43"/>
      <c r="C119" s="43"/>
      <c r="D119" s="43"/>
      <c r="E119" s="43"/>
      <c r="F119" s="43"/>
      <c r="G119" s="43"/>
      <c r="I119" t="str">
        <f t="shared" si="2"/>
        <v>C0001</v>
      </c>
    </row>
    <row r="120" spans="1:9" x14ac:dyDescent="0.3">
      <c r="A120" s="28" t="s">
        <v>17</v>
      </c>
      <c r="B120" s="23">
        <v>1655</v>
      </c>
      <c r="C120" s="23">
        <v>805</v>
      </c>
      <c r="D120" s="23">
        <v>2263</v>
      </c>
      <c r="E120" s="23">
        <v>987</v>
      </c>
      <c r="F120" s="23">
        <v>1075</v>
      </c>
      <c r="G120" s="23">
        <v>6785</v>
      </c>
      <c r="I120" t="str">
        <f t="shared" si="2"/>
        <v>C0005</v>
      </c>
    </row>
    <row r="121" spans="1:9" x14ac:dyDescent="0.3">
      <c r="A121" s="28" t="s">
        <v>23</v>
      </c>
      <c r="B121" s="23">
        <v>1104</v>
      </c>
      <c r="C121" s="23">
        <v>2280</v>
      </c>
      <c r="D121" s="23">
        <v>1445</v>
      </c>
      <c r="E121" s="23">
        <v>1722</v>
      </c>
      <c r="F121" s="23">
        <v>1196</v>
      </c>
      <c r="G121" s="23">
        <v>7747</v>
      </c>
      <c r="I121" t="str">
        <f t="shared" si="2"/>
        <v>C0006</v>
      </c>
    </row>
    <row r="122" spans="1:9" x14ac:dyDescent="0.3">
      <c r="A122" s="28" t="s">
        <v>7</v>
      </c>
      <c r="B122" s="23">
        <v>372</v>
      </c>
      <c r="C122" s="23">
        <v>1818</v>
      </c>
      <c r="D122" s="23">
        <v>1346</v>
      </c>
      <c r="E122" s="23">
        <v>1156</v>
      </c>
      <c r="F122" s="23">
        <v>1484</v>
      </c>
      <c r="G122" s="23">
        <v>6176</v>
      </c>
      <c r="I122" t="str">
        <f t="shared" si="2"/>
        <v>C0009</v>
      </c>
    </row>
    <row r="123" spans="1:9" x14ac:dyDescent="0.3">
      <c r="A123" s="28" t="s">
        <v>22</v>
      </c>
      <c r="B123" s="23">
        <v>1415</v>
      </c>
      <c r="C123" s="23">
        <v>1271</v>
      </c>
      <c r="D123" s="23">
        <v>1214</v>
      </c>
      <c r="E123" s="23">
        <v>1135</v>
      </c>
      <c r="F123" s="23">
        <v>1566</v>
      </c>
      <c r="G123" s="23">
        <v>6601</v>
      </c>
      <c r="I123" t="str">
        <f t="shared" si="2"/>
        <v>C0014</v>
      </c>
    </row>
    <row r="124" spans="1:9" x14ac:dyDescent="0.3">
      <c r="A124" s="28" t="s">
        <v>21</v>
      </c>
      <c r="B124" s="23">
        <v>1362</v>
      </c>
      <c r="C124" s="23">
        <v>1363</v>
      </c>
      <c r="D124" s="23">
        <v>1152</v>
      </c>
      <c r="E124" s="23">
        <v>777</v>
      </c>
      <c r="F124" s="23">
        <v>750</v>
      </c>
      <c r="G124" s="23">
        <v>5404</v>
      </c>
      <c r="I124">
        <f t="shared" si="2"/>
        <v>0</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F15B-3787-4F08-AB80-3E3A7FB3B24F}">
  <dimension ref="A1:AC104"/>
  <sheetViews>
    <sheetView tabSelected="1" zoomScale="69" workbookViewId="0">
      <selection activeCell="B1" sqref="B1"/>
    </sheetView>
  </sheetViews>
  <sheetFormatPr defaultRowHeight="14.4" x14ac:dyDescent="0.3"/>
  <cols>
    <col min="1" max="1" width="2.296875" customWidth="1"/>
    <col min="2" max="2" width="2.09765625" customWidth="1"/>
    <col min="5" max="5" width="2.8984375" customWidth="1"/>
    <col min="15" max="15" width="2.8984375" customWidth="1"/>
    <col min="16" max="16" width="12" customWidth="1"/>
    <col min="17" max="17" width="10.59765625" customWidth="1"/>
    <col min="18" max="18" width="10" customWidth="1"/>
    <col min="19" max="19" width="11.8984375" customWidth="1"/>
    <col min="20" max="20" width="9.69921875" customWidth="1"/>
    <col min="21" max="21" width="11.296875" customWidth="1"/>
    <col min="22" max="22" width="10.296875" customWidth="1"/>
    <col min="23" max="23" width="11.8984375" customWidth="1"/>
  </cols>
  <sheetData>
    <row r="1" spans="1:29" ht="37.799999999999997" customHeight="1" x14ac:dyDescent="0.6">
      <c r="A1" s="21"/>
      <c r="B1" s="21"/>
      <c r="C1" s="40" t="s">
        <v>1079</v>
      </c>
      <c r="D1" s="40"/>
      <c r="E1" s="40"/>
      <c r="F1" s="41"/>
      <c r="G1" s="41"/>
      <c r="H1" s="41"/>
      <c r="I1" s="21"/>
      <c r="J1" s="21"/>
      <c r="K1" s="21"/>
      <c r="L1" s="40"/>
      <c r="M1" s="40"/>
      <c r="N1" s="40"/>
      <c r="O1" s="41"/>
      <c r="P1" s="41"/>
      <c r="Q1" s="41"/>
      <c r="R1" s="21"/>
      <c r="S1" s="21"/>
      <c r="T1" s="21"/>
      <c r="U1" s="21"/>
      <c r="V1" s="21"/>
      <c r="W1" s="21"/>
      <c r="X1" s="21"/>
      <c r="Y1" s="21"/>
      <c r="Z1" s="21"/>
      <c r="AA1" s="21"/>
      <c r="AB1" s="21"/>
      <c r="AC1" s="21"/>
    </row>
    <row r="2" spans="1:29"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row>
    <row r="3" spans="1:29"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row>
    <row r="4" spans="1:29" x14ac:dyDescent="0.3">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row>
    <row r="5" spans="1:29" x14ac:dyDescent="0.3">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row>
    <row r="6" spans="1:29" x14ac:dyDescent="0.3">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row>
    <row r="7" spans="1:29" x14ac:dyDescent="0.3">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row>
    <row r="8" spans="1:29" x14ac:dyDescent="0.3">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row>
    <row r="9" spans="1:29" x14ac:dyDescent="0.3">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row>
    <row r="10" spans="1:29"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row>
    <row r="11" spans="1:29"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row>
    <row r="12" spans="1:29"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row>
    <row r="13" spans="1:29" x14ac:dyDescent="0.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row>
    <row r="14" spans="1:29"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row>
    <row r="15" spans="1:29" x14ac:dyDescent="0.3">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row>
    <row r="16" spans="1:29" x14ac:dyDescent="0.3">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row>
    <row r="17" spans="1:29"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spans="1:29"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row>
    <row r="19" spans="1:29" x14ac:dyDescent="0.3">
      <c r="A19" s="21"/>
      <c r="B19" s="21"/>
      <c r="C19" s="21"/>
      <c r="D19" s="21"/>
      <c r="E19" s="21"/>
      <c r="F19" s="21"/>
      <c r="G19" s="21"/>
      <c r="H19" s="21"/>
      <c r="I19" s="21"/>
      <c r="J19" s="21"/>
      <c r="K19" s="21"/>
      <c r="L19" s="21"/>
      <c r="M19" s="21"/>
      <c r="N19" s="21"/>
      <c r="O19" s="21"/>
      <c r="P19" s="21"/>
      <c r="Q19" s="29"/>
      <c r="R19" s="30" t="str">
        <f>pivot!B106</f>
        <v>R01</v>
      </c>
      <c r="S19" s="30" t="str">
        <f>pivot!C106</f>
        <v>R02</v>
      </c>
      <c r="T19" s="30" t="str">
        <f>pivot!D106</f>
        <v>R03</v>
      </c>
      <c r="U19" s="30" t="str">
        <f>pivot!E106</f>
        <v>R04</v>
      </c>
      <c r="V19" s="30" t="str">
        <f>pivot!F106</f>
        <v>R05</v>
      </c>
      <c r="W19" s="31" t="s">
        <v>1078</v>
      </c>
      <c r="X19" s="21"/>
      <c r="Y19" s="21"/>
      <c r="Z19" s="21"/>
      <c r="AA19" s="21"/>
      <c r="AB19" s="21"/>
      <c r="AC19" s="21"/>
    </row>
    <row r="20" spans="1:29" x14ac:dyDescent="0.3">
      <c r="A20" s="21"/>
      <c r="B20" s="21"/>
      <c r="C20" s="21"/>
      <c r="D20" s="21"/>
      <c r="E20" s="21"/>
      <c r="F20" s="21"/>
      <c r="G20" s="21"/>
      <c r="H20" s="21"/>
      <c r="I20" s="21"/>
      <c r="J20" s="21"/>
      <c r="K20" s="21"/>
      <c r="L20" s="21"/>
      <c r="M20" s="21"/>
      <c r="N20" s="21"/>
      <c r="O20" s="21"/>
      <c r="P20" s="21"/>
      <c r="Q20" s="32"/>
      <c r="R20" s="33"/>
      <c r="S20" s="33"/>
      <c r="T20" s="33"/>
      <c r="U20" s="33"/>
      <c r="V20" s="33"/>
      <c r="W20" s="34"/>
      <c r="X20" s="21"/>
      <c r="Y20" s="21"/>
      <c r="Z20" s="21"/>
      <c r="AA20" s="21"/>
      <c r="AB20" s="21"/>
      <c r="AC20" s="21"/>
    </row>
    <row r="21" spans="1:29" x14ac:dyDescent="0.3">
      <c r="A21" s="21"/>
      <c r="B21" s="21"/>
      <c r="C21" s="21"/>
      <c r="D21" s="21"/>
      <c r="E21" s="21"/>
      <c r="F21" s="21"/>
      <c r="G21" s="21"/>
      <c r="H21" s="21"/>
      <c r="I21" s="21"/>
      <c r="J21" s="21"/>
      <c r="K21" s="21"/>
      <c r="L21" s="21"/>
      <c r="M21" s="21"/>
      <c r="N21" s="21"/>
      <c r="O21" s="21"/>
      <c r="P21" s="21"/>
      <c r="Q21" s="32" t="str">
        <f>pivot!A107</f>
        <v>Cincinnati</v>
      </c>
      <c r="R21" s="33"/>
      <c r="S21" s="33"/>
      <c r="T21" s="33"/>
      <c r="U21" s="33"/>
      <c r="V21" s="33"/>
      <c r="W21" s="34"/>
      <c r="X21" s="21"/>
      <c r="Y21" s="21"/>
      <c r="Z21" s="21"/>
      <c r="AA21" s="21"/>
      <c r="AB21" s="21"/>
      <c r="AC21" s="21"/>
    </row>
    <row r="22" spans="1:29" x14ac:dyDescent="0.3">
      <c r="A22" s="21"/>
      <c r="B22" s="21"/>
      <c r="C22" s="21"/>
      <c r="D22" s="21"/>
      <c r="E22" s="21"/>
      <c r="F22" s="21"/>
      <c r="G22" s="21"/>
      <c r="H22" s="21"/>
      <c r="I22" s="21"/>
      <c r="J22" s="21"/>
      <c r="K22" s="21"/>
      <c r="L22" s="21"/>
      <c r="M22" s="21"/>
      <c r="N22" s="21"/>
      <c r="O22" s="21"/>
      <c r="P22" s="21"/>
      <c r="Q22" s="32" t="str">
        <f>pivot!A108</f>
        <v>C0003</v>
      </c>
      <c r="R22" s="35">
        <f>pivot!B108</f>
        <v>891</v>
      </c>
      <c r="S22" s="35">
        <f>pivot!C108</f>
        <v>1332</v>
      </c>
      <c r="T22" s="35">
        <f>pivot!D108</f>
        <v>1282</v>
      </c>
      <c r="U22" s="35">
        <f>pivot!E108</f>
        <v>739</v>
      </c>
      <c r="V22" s="35">
        <f>pivot!F108</f>
        <v>560</v>
      </c>
      <c r="W22" s="36">
        <f>pivot!G108</f>
        <v>4804</v>
      </c>
      <c r="X22" s="21"/>
      <c r="Y22" s="21"/>
      <c r="Z22" s="21"/>
      <c r="AA22" s="21"/>
      <c r="AB22" s="21"/>
      <c r="AC22" s="21"/>
    </row>
    <row r="23" spans="1:29" x14ac:dyDescent="0.3">
      <c r="A23" s="21"/>
      <c r="B23" s="21"/>
      <c r="C23" s="21"/>
      <c r="D23" s="21"/>
      <c r="E23" s="21"/>
      <c r="F23" s="21"/>
      <c r="G23" s="21"/>
      <c r="H23" s="21"/>
      <c r="I23" s="21"/>
      <c r="J23" s="21"/>
      <c r="K23" s="21"/>
      <c r="L23" s="21"/>
      <c r="M23" s="21"/>
      <c r="N23" s="21"/>
      <c r="O23" s="21"/>
      <c r="P23" s="21"/>
      <c r="Q23" s="32" t="str">
        <f>pivot!A109</f>
        <v>C0004</v>
      </c>
      <c r="R23" s="35">
        <f>pivot!B109</f>
        <v>1991</v>
      </c>
      <c r="S23" s="35">
        <f>pivot!C109</f>
        <v>1886</v>
      </c>
      <c r="T23" s="35">
        <f>pivot!D109</f>
        <v>1206</v>
      </c>
      <c r="U23" s="35">
        <f>pivot!E109</f>
        <v>884</v>
      </c>
      <c r="V23" s="35">
        <f>pivot!F109</f>
        <v>1722</v>
      </c>
      <c r="W23" s="36">
        <f>pivot!G109</f>
        <v>7689</v>
      </c>
      <c r="X23" s="21"/>
      <c r="Y23" s="21"/>
      <c r="Z23" s="21"/>
      <c r="AA23" s="21"/>
      <c r="AB23" s="21"/>
      <c r="AC23" s="21"/>
    </row>
    <row r="24" spans="1:29" x14ac:dyDescent="0.3">
      <c r="A24" s="21"/>
      <c r="B24" s="21"/>
      <c r="C24" s="21"/>
      <c r="D24" s="21"/>
      <c r="E24" s="21"/>
      <c r="F24" s="21"/>
      <c r="G24" s="21"/>
      <c r="H24" s="21"/>
      <c r="I24" s="21"/>
      <c r="J24" s="21"/>
      <c r="K24" s="21"/>
      <c r="L24" s="21"/>
      <c r="M24" s="21"/>
      <c r="N24" s="21"/>
      <c r="O24" s="21"/>
      <c r="P24" s="21"/>
      <c r="Q24" s="32" t="str">
        <f>pivot!A110</f>
        <v>C0011</v>
      </c>
      <c r="R24" s="35">
        <f>pivot!B110</f>
        <v>1163</v>
      </c>
      <c r="S24" s="35">
        <f>pivot!C110</f>
        <v>1180</v>
      </c>
      <c r="T24" s="35">
        <f>pivot!D110</f>
        <v>1616</v>
      </c>
      <c r="U24" s="35">
        <f>pivot!E110</f>
        <v>1043</v>
      </c>
      <c r="V24" s="35">
        <f>pivot!F110</f>
        <v>1747</v>
      </c>
      <c r="W24" s="36">
        <f>pivot!G110</f>
        <v>6749</v>
      </c>
      <c r="X24" s="21"/>
      <c r="Y24" s="21"/>
      <c r="Z24" s="21"/>
      <c r="AA24" s="21"/>
      <c r="AB24" s="21"/>
      <c r="AC24" s="21"/>
    </row>
    <row r="25" spans="1:29" x14ac:dyDescent="0.3">
      <c r="A25" s="21"/>
      <c r="B25" s="21"/>
      <c r="C25" s="21"/>
      <c r="D25" s="21"/>
      <c r="E25" s="21"/>
      <c r="F25" s="21"/>
      <c r="G25" s="21"/>
      <c r="H25" s="21"/>
      <c r="I25" s="21"/>
      <c r="J25" s="21"/>
      <c r="K25" s="21"/>
      <c r="L25" s="21"/>
      <c r="M25" s="21"/>
      <c r="N25" s="21"/>
      <c r="O25" s="21"/>
      <c r="P25" s="21"/>
      <c r="Q25" s="32" t="str">
        <f>pivot!A111</f>
        <v>C0012</v>
      </c>
      <c r="R25" s="35">
        <f>pivot!B111</f>
        <v>1438</v>
      </c>
      <c r="S25" s="35">
        <f>pivot!C111</f>
        <v>1616</v>
      </c>
      <c r="T25" s="35">
        <f>pivot!D111</f>
        <v>866</v>
      </c>
      <c r="U25" s="35">
        <f>pivot!E111</f>
        <v>829</v>
      </c>
      <c r="V25" s="35">
        <f>pivot!F111</f>
        <v>2070</v>
      </c>
      <c r="W25" s="36">
        <f>pivot!G111</f>
        <v>6819</v>
      </c>
      <c r="X25" s="21"/>
      <c r="Y25" s="21"/>
      <c r="Z25" s="21"/>
      <c r="AA25" s="21"/>
      <c r="AB25" s="21"/>
      <c r="AC25" s="21"/>
    </row>
    <row r="26" spans="1:29" x14ac:dyDescent="0.3">
      <c r="A26" s="21"/>
      <c r="B26" s="21"/>
      <c r="C26" s="21"/>
      <c r="D26" s="21"/>
      <c r="E26" s="21"/>
      <c r="F26" s="21"/>
      <c r="G26" s="21"/>
      <c r="H26" s="21"/>
      <c r="I26" s="21"/>
      <c r="J26" s="21"/>
      <c r="K26" s="21"/>
      <c r="L26" s="21"/>
      <c r="M26" s="21"/>
      <c r="N26" s="21"/>
      <c r="O26" s="21"/>
      <c r="P26" s="21"/>
      <c r="Q26" s="32" t="str">
        <f>pivot!A112</f>
        <v>Cleveland</v>
      </c>
      <c r="R26" s="35"/>
      <c r="S26" s="35"/>
      <c r="T26" s="35"/>
      <c r="U26" s="35"/>
      <c r="V26" s="35"/>
      <c r="W26" s="36"/>
      <c r="X26" s="21"/>
      <c r="Y26" s="21"/>
      <c r="Z26" s="21"/>
      <c r="AA26" s="21"/>
      <c r="AB26" s="21"/>
      <c r="AC26" s="21"/>
    </row>
    <row r="27" spans="1:29" x14ac:dyDescent="0.3">
      <c r="A27" s="21"/>
      <c r="B27" s="21"/>
      <c r="C27" s="21"/>
      <c r="D27" s="21"/>
      <c r="E27" s="21"/>
      <c r="F27" s="21"/>
      <c r="G27" s="21"/>
      <c r="H27" s="21"/>
      <c r="I27" s="21"/>
      <c r="J27" s="21"/>
      <c r="K27" s="21"/>
      <c r="L27" s="21"/>
      <c r="M27" s="21"/>
      <c r="N27" s="21"/>
      <c r="O27" s="21"/>
      <c r="P27" s="21"/>
      <c r="Q27" s="32" t="str">
        <f>pivot!A113</f>
        <v>C0002</v>
      </c>
      <c r="R27" s="35">
        <f>pivot!B113</f>
        <v>1233</v>
      </c>
      <c r="S27" s="35">
        <f>pivot!C113</f>
        <v>223</v>
      </c>
      <c r="T27" s="35">
        <f>pivot!D113</f>
        <v>1680</v>
      </c>
      <c r="U27" s="35">
        <f>pivot!E113</f>
        <v>990</v>
      </c>
      <c r="V27" s="35">
        <f>pivot!F113</f>
        <v>1508</v>
      </c>
      <c r="W27" s="36">
        <f>pivot!G113</f>
        <v>5634</v>
      </c>
      <c r="X27" s="21"/>
      <c r="Y27" s="21"/>
      <c r="Z27" s="21"/>
      <c r="AA27" s="21"/>
      <c r="AB27" s="21"/>
      <c r="AC27" s="21"/>
    </row>
    <row r="28" spans="1:29" x14ac:dyDescent="0.3">
      <c r="A28" s="21"/>
      <c r="B28" s="21"/>
      <c r="C28" s="21"/>
      <c r="D28" s="21"/>
      <c r="E28" s="21"/>
      <c r="F28" s="21"/>
      <c r="G28" s="21"/>
      <c r="H28" s="21"/>
      <c r="I28" s="21"/>
      <c r="J28" s="21"/>
      <c r="K28" s="21"/>
      <c r="L28" s="21"/>
      <c r="M28" s="21"/>
      <c r="N28" s="21"/>
      <c r="O28" s="21"/>
      <c r="P28" s="21"/>
      <c r="Q28" s="32" t="str">
        <f>pivot!A114</f>
        <v>C0007</v>
      </c>
      <c r="R28" s="35">
        <f>pivot!B114</f>
        <v>1598</v>
      </c>
      <c r="S28" s="35">
        <f>pivot!C114</f>
        <v>1907</v>
      </c>
      <c r="T28" s="35">
        <f>pivot!D114</f>
        <v>869</v>
      </c>
      <c r="U28" s="35">
        <f>pivot!E114</f>
        <v>1426</v>
      </c>
      <c r="V28" s="35">
        <f>pivot!F114</f>
        <v>1416</v>
      </c>
      <c r="W28" s="36">
        <f>pivot!G114</f>
        <v>7216</v>
      </c>
      <c r="X28" s="21"/>
      <c r="Y28" s="21"/>
      <c r="Z28" s="21"/>
      <c r="AA28" s="21"/>
      <c r="AB28" s="21"/>
      <c r="AC28" s="21"/>
    </row>
    <row r="29" spans="1:29" x14ac:dyDescent="0.3">
      <c r="A29" s="21"/>
      <c r="B29" s="21"/>
      <c r="C29" s="21"/>
      <c r="D29" s="21"/>
      <c r="E29" s="21"/>
      <c r="F29" s="21"/>
      <c r="G29" s="21"/>
      <c r="H29" s="21"/>
      <c r="I29" s="21"/>
      <c r="J29" s="21"/>
      <c r="K29" s="21"/>
      <c r="L29" s="21"/>
      <c r="M29" s="21"/>
      <c r="N29" s="21"/>
      <c r="O29" s="21"/>
      <c r="P29" s="21"/>
      <c r="Q29" s="32" t="str">
        <f>pivot!A115</f>
        <v>C0008</v>
      </c>
      <c r="R29" s="35">
        <f>pivot!B115</f>
        <v>900</v>
      </c>
      <c r="S29" s="35">
        <f>pivot!C115</f>
        <v>1016</v>
      </c>
      <c r="T29" s="35">
        <f>pivot!D115</f>
        <v>960</v>
      </c>
      <c r="U29" s="35">
        <f>pivot!E115</f>
        <v>940</v>
      </c>
      <c r="V29" s="35">
        <f>pivot!F115</f>
        <v>1193</v>
      </c>
      <c r="W29" s="36">
        <f>pivot!G115</f>
        <v>5009</v>
      </c>
      <c r="X29" s="21"/>
      <c r="Y29" s="21"/>
      <c r="Z29" s="21"/>
      <c r="AA29" s="21"/>
      <c r="AB29" s="21"/>
      <c r="AC29" s="21"/>
    </row>
    <row r="30" spans="1:29" x14ac:dyDescent="0.3">
      <c r="A30" s="21"/>
      <c r="B30" s="21"/>
      <c r="C30" s="21"/>
      <c r="D30" s="21"/>
      <c r="E30" s="21"/>
      <c r="F30" s="21"/>
      <c r="G30" s="21"/>
      <c r="H30" s="21"/>
      <c r="I30" s="21"/>
      <c r="J30" s="21"/>
      <c r="K30" s="21"/>
      <c r="L30" s="21"/>
      <c r="M30" s="21"/>
      <c r="N30" s="21"/>
      <c r="O30" s="21"/>
      <c r="P30" s="21"/>
      <c r="Q30" s="32" t="str">
        <f>pivot!A116</f>
        <v>C0010</v>
      </c>
      <c r="R30" s="35">
        <f>pivot!B116</f>
        <v>900</v>
      </c>
      <c r="S30" s="35">
        <f>pivot!C116</f>
        <v>1470</v>
      </c>
      <c r="T30" s="35">
        <f>pivot!D116</f>
        <v>1617</v>
      </c>
      <c r="U30" s="35">
        <f>pivot!E116</f>
        <v>1314</v>
      </c>
      <c r="V30" s="35">
        <f>pivot!F116</f>
        <v>941</v>
      </c>
      <c r="W30" s="36">
        <f>pivot!G116</f>
        <v>6242</v>
      </c>
      <c r="X30" s="21"/>
      <c r="Y30" s="21"/>
      <c r="Z30" s="21"/>
      <c r="AA30" s="21"/>
      <c r="AB30" s="21"/>
      <c r="AC30" s="21"/>
    </row>
    <row r="31" spans="1:29" x14ac:dyDescent="0.3">
      <c r="A31" s="21"/>
      <c r="B31" s="21"/>
      <c r="C31" s="21"/>
      <c r="D31" s="21"/>
      <c r="E31" s="21"/>
      <c r="F31" s="21"/>
      <c r="G31" s="21"/>
      <c r="H31" s="21"/>
      <c r="I31" s="21"/>
      <c r="J31" s="21"/>
      <c r="K31" s="21"/>
      <c r="L31" s="21"/>
      <c r="M31" s="21"/>
      <c r="N31" s="21"/>
      <c r="O31" s="21"/>
      <c r="P31" s="21"/>
      <c r="Q31" s="32" t="str">
        <f>pivot!A117</f>
        <v>C0013</v>
      </c>
      <c r="R31" s="35">
        <f>pivot!B117</f>
        <v>1255</v>
      </c>
      <c r="S31" s="35">
        <f>pivot!C117</f>
        <v>516</v>
      </c>
      <c r="T31" s="35">
        <f>pivot!D117</f>
        <v>1874</v>
      </c>
      <c r="U31" s="35">
        <f>pivot!E117</f>
        <v>1863</v>
      </c>
      <c r="V31" s="35">
        <f>pivot!F117</f>
        <v>1722</v>
      </c>
      <c r="W31" s="36">
        <f>pivot!G117</f>
        <v>7230</v>
      </c>
      <c r="X31" s="21"/>
      <c r="Y31" s="21"/>
      <c r="Z31" s="21"/>
      <c r="AA31" s="21"/>
      <c r="AB31" s="21"/>
      <c r="AC31" s="21"/>
    </row>
    <row r="32" spans="1:29" x14ac:dyDescent="0.3">
      <c r="A32" s="21"/>
      <c r="B32" s="21"/>
      <c r="C32" s="21"/>
      <c r="D32" s="21"/>
      <c r="E32" s="21"/>
      <c r="F32" s="21"/>
      <c r="G32" s="21"/>
      <c r="H32" s="21"/>
      <c r="I32" s="21"/>
      <c r="J32" s="21"/>
      <c r="K32" s="21"/>
      <c r="L32" s="21"/>
      <c r="M32" s="21"/>
      <c r="N32" s="21"/>
      <c r="O32" s="21"/>
      <c r="P32" s="21"/>
      <c r="Q32" s="32" t="str">
        <f>pivot!A118</f>
        <v>C0015</v>
      </c>
      <c r="R32" s="35">
        <f>pivot!B118</f>
        <v>1138</v>
      </c>
      <c r="S32" s="35">
        <f>pivot!C118</f>
        <v>1898</v>
      </c>
      <c r="T32" s="35">
        <f>pivot!D118</f>
        <v>1482</v>
      </c>
      <c r="U32" s="35">
        <f>pivot!E118</f>
        <v>846</v>
      </c>
      <c r="V32" s="35">
        <f>pivot!F118</f>
        <v>1154</v>
      </c>
      <c r="W32" s="36">
        <f>pivot!G118</f>
        <v>6518</v>
      </c>
      <c r="X32" s="21"/>
      <c r="Y32" s="21"/>
      <c r="Z32" s="21"/>
      <c r="AA32" s="21"/>
      <c r="AB32" s="21"/>
      <c r="AC32" s="21"/>
    </row>
    <row r="33" spans="1:29" x14ac:dyDescent="0.3">
      <c r="A33" s="21"/>
      <c r="B33" s="21"/>
      <c r="C33" s="21"/>
      <c r="D33" s="21"/>
      <c r="E33" s="21"/>
      <c r="F33" s="21"/>
      <c r="G33" s="21"/>
      <c r="H33" s="21"/>
      <c r="I33" s="21"/>
      <c r="J33" s="21"/>
      <c r="K33" s="21"/>
      <c r="L33" s="21"/>
      <c r="M33" s="21"/>
      <c r="N33" s="21"/>
      <c r="O33" s="21"/>
      <c r="P33" s="21"/>
      <c r="Q33" s="32" t="str">
        <f>pivot!A119</f>
        <v>Columbus</v>
      </c>
      <c r="R33" s="35"/>
      <c r="S33" s="35"/>
      <c r="T33" s="35"/>
      <c r="U33" s="35"/>
      <c r="V33" s="35"/>
      <c r="W33" s="36"/>
      <c r="X33" s="21"/>
      <c r="Y33" s="21"/>
      <c r="Z33" s="21"/>
      <c r="AA33" s="21"/>
      <c r="AB33" s="21"/>
      <c r="AC33" s="21"/>
    </row>
    <row r="34" spans="1:29" x14ac:dyDescent="0.3">
      <c r="A34" s="21"/>
      <c r="B34" s="21"/>
      <c r="C34" s="21"/>
      <c r="D34" s="21"/>
      <c r="E34" s="21"/>
      <c r="F34" s="21"/>
      <c r="G34" s="21"/>
      <c r="H34" s="21"/>
      <c r="I34" s="21"/>
      <c r="J34" s="21"/>
      <c r="K34" s="21"/>
      <c r="L34" s="21"/>
      <c r="M34" s="21"/>
      <c r="N34" s="21"/>
      <c r="O34" s="21"/>
      <c r="P34" s="21"/>
      <c r="Q34" s="32" t="str">
        <f>pivot!A120</f>
        <v>C0001</v>
      </c>
      <c r="R34" s="35">
        <f>pivot!B120</f>
        <v>1655</v>
      </c>
      <c r="S34" s="35">
        <f>pivot!C120</f>
        <v>805</v>
      </c>
      <c r="T34" s="35">
        <f>pivot!D120</f>
        <v>2263</v>
      </c>
      <c r="U34" s="35">
        <f>pivot!E120</f>
        <v>987</v>
      </c>
      <c r="V34" s="35">
        <f>pivot!F120</f>
        <v>1075</v>
      </c>
      <c r="W34" s="36">
        <f>pivot!G120</f>
        <v>6785</v>
      </c>
      <c r="X34" s="21"/>
      <c r="Y34" s="21"/>
      <c r="Z34" s="21"/>
      <c r="AA34" s="21"/>
      <c r="AB34" s="21"/>
      <c r="AC34" s="21"/>
    </row>
    <row r="35" spans="1:29" x14ac:dyDescent="0.3">
      <c r="A35" s="21"/>
      <c r="B35" s="21"/>
      <c r="C35" s="21"/>
      <c r="D35" s="21"/>
      <c r="E35" s="21"/>
      <c r="F35" s="21"/>
      <c r="G35" s="21"/>
      <c r="H35" s="21"/>
      <c r="I35" s="21"/>
      <c r="J35" s="21"/>
      <c r="K35" s="21"/>
      <c r="L35" s="21"/>
      <c r="M35" s="21"/>
      <c r="N35" s="21"/>
      <c r="O35" s="21"/>
      <c r="P35" s="21"/>
      <c r="Q35" s="32" t="str">
        <f>pivot!A121</f>
        <v>C0005</v>
      </c>
      <c r="R35" s="35">
        <f>pivot!B121</f>
        <v>1104</v>
      </c>
      <c r="S35" s="35">
        <f>pivot!C121</f>
        <v>2280</v>
      </c>
      <c r="T35" s="35">
        <f>pivot!D121</f>
        <v>1445</v>
      </c>
      <c r="U35" s="35">
        <f>pivot!E121</f>
        <v>1722</v>
      </c>
      <c r="V35" s="35">
        <f>pivot!F121</f>
        <v>1196</v>
      </c>
      <c r="W35" s="36">
        <f>pivot!G121</f>
        <v>7747</v>
      </c>
      <c r="X35" s="21"/>
      <c r="Y35" s="21"/>
      <c r="Z35" s="21"/>
      <c r="AA35" s="21"/>
      <c r="AB35" s="21"/>
      <c r="AC35" s="21"/>
    </row>
    <row r="36" spans="1:29" x14ac:dyDescent="0.3">
      <c r="A36" s="21"/>
      <c r="B36" s="21"/>
      <c r="C36" s="21"/>
      <c r="D36" s="21"/>
      <c r="E36" s="21"/>
      <c r="F36" s="21"/>
      <c r="G36" s="21"/>
      <c r="H36" s="21"/>
      <c r="I36" s="21"/>
      <c r="J36" s="21"/>
      <c r="K36" s="21"/>
      <c r="L36" s="21"/>
      <c r="M36" s="21"/>
      <c r="N36" s="21"/>
      <c r="O36" s="21"/>
      <c r="P36" s="21"/>
      <c r="Q36" s="32" t="str">
        <f>pivot!A122</f>
        <v>C0006</v>
      </c>
      <c r="R36" s="35">
        <f>pivot!B122</f>
        <v>372</v>
      </c>
      <c r="S36" s="35">
        <f>pivot!C122</f>
        <v>1818</v>
      </c>
      <c r="T36" s="35">
        <f>pivot!D122</f>
        <v>1346</v>
      </c>
      <c r="U36" s="35">
        <f>pivot!E122</f>
        <v>1156</v>
      </c>
      <c r="V36" s="35">
        <f>pivot!F122</f>
        <v>1484</v>
      </c>
      <c r="W36" s="36">
        <f>pivot!G122</f>
        <v>6176</v>
      </c>
      <c r="X36" s="21"/>
      <c r="Y36" s="21"/>
      <c r="Z36" s="21"/>
      <c r="AA36" s="21"/>
      <c r="AB36" s="21"/>
      <c r="AC36" s="21"/>
    </row>
    <row r="37" spans="1:29" x14ac:dyDescent="0.3">
      <c r="A37" s="21"/>
      <c r="B37" s="21"/>
      <c r="C37" s="21"/>
      <c r="D37" s="21"/>
      <c r="E37" s="21"/>
      <c r="F37" s="21"/>
      <c r="G37" s="21"/>
      <c r="H37" s="21"/>
      <c r="I37" s="21"/>
      <c r="J37" s="21"/>
      <c r="K37" s="21"/>
      <c r="L37" s="21"/>
      <c r="M37" s="21"/>
      <c r="N37" s="21"/>
      <c r="O37" s="21"/>
      <c r="P37" s="21"/>
      <c r="Q37" s="32" t="str">
        <f>pivot!A123</f>
        <v>C0009</v>
      </c>
      <c r="R37" s="35">
        <f>pivot!B123</f>
        <v>1415</v>
      </c>
      <c r="S37" s="35">
        <f>pivot!C123</f>
        <v>1271</v>
      </c>
      <c r="T37" s="35">
        <f>pivot!D123</f>
        <v>1214</v>
      </c>
      <c r="U37" s="35">
        <f>pivot!E123</f>
        <v>1135</v>
      </c>
      <c r="V37" s="35">
        <f>pivot!F123</f>
        <v>1566</v>
      </c>
      <c r="W37" s="36">
        <f>pivot!G123</f>
        <v>6601</v>
      </c>
      <c r="X37" s="21"/>
      <c r="Y37" s="21"/>
      <c r="Z37" s="21"/>
      <c r="AA37" s="21"/>
      <c r="AB37" s="21"/>
      <c r="AC37" s="21"/>
    </row>
    <row r="38" spans="1:29" x14ac:dyDescent="0.3">
      <c r="A38" s="21"/>
      <c r="B38" s="21"/>
      <c r="C38" s="21"/>
      <c r="D38" s="21"/>
      <c r="E38" s="21"/>
      <c r="F38" s="21"/>
      <c r="G38" s="21"/>
      <c r="H38" s="21"/>
      <c r="I38" s="21"/>
      <c r="J38" s="21"/>
      <c r="K38" s="21"/>
      <c r="L38" s="21"/>
      <c r="M38" s="21"/>
      <c r="N38" s="21"/>
      <c r="O38" s="21"/>
      <c r="P38" s="21"/>
      <c r="Q38" s="37" t="str">
        <f>pivot!A124</f>
        <v>C0014</v>
      </c>
      <c r="R38" s="38">
        <f>pivot!B124</f>
        <v>1362</v>
      </c>
      <c r="S38" s="38">
        <f>pivot!C124</f>
        <v>1363</v>
      </c>
      <c r="T38" s="38">
        <f>pivot!D124</f>
        <v>1152</v>
      </c>
      <c r="U38" s="38">
        <f>pivot!E124</f>
        <v>777</v>
      </c>
      <c r="V38" s="38">
        <f>pivot!F124</f>
        <v>750</v>
      </c>
      <c r="W38" s="39">
        <f>pivot!G124</f>
        <v>5404</v>
      </c>
      <c r="X38" s="21"/>
      <c r="Y38" s="21"/>
      <c r="Z38" s="21"/>
      <c r="AA38" s="21"/>
      <c r="AB38" s="21"/>
      <c r="AC38" s="21"/>
    </row>
    <row r="39" spans="1:29"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row>
    <row r="40" spans="1:29"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row>
    <row r="41" spans="1:29"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row>
    <row r="42" spans="1:29"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row>
    <row r="43" spans="1:29"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row>
    <row r="44" spans="1:29"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row>
    <row r="45" spans="1:29"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row>
    <row r="46" spans="1:29"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row>
    <row r="47" spans="1:29"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row>
    <row r="48" spans="1:29"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row>
    <row r="49" spans="1:29"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row>
    <row r="50" spans="1:29"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row>
    <row r="51" spans="1:29"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row>
    <row r="52" spans="1:29"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row>
    <row r="53" spans="1:29"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row>
    <row r="54" spans="1:29"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row>
    <row r="55" spans="1:29"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row>
    <row r="56" spans="1:29"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row>
    <row r="57" spans="1:29"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row>
    <row r="58" spans="1:29"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row>
    <row r="59" spans="1:29"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row>
    <row r="60" spans="1:29"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row>
    <row r="61" spans="1:29"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row>
    <row r="62" spans="1:29"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row>
    <row r="63" spans="1:29"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row>
    <row r="64" spans="1:29"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row>
    <row r="65" spans="1:29"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row>
    <row r="66" spans="1:29"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row>
    <row r="67" spans="1:29"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row>
    <row r="68" spans="1:29"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row>
    <row r="69" spans="1:29"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row>
    <row r="70" spans="1:29"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row>
    <row r="71" spans="1:29"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row>
    <row r="72" spans="1:29"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row>
    <row r="73" spans="1:29"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row>
    <row r="74" spans="1:29"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row>
    <row r="75" spans="1:29"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row>
    <row r="76" spans="1:29"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row>
    <row r="77" spans="1:29"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row>
    <row r="78" spans="1:29"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row>
    <row r="79" spans="1:29"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row>
    <row r="80" spans="1:29"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row>
    <row r="81" spans="1:29"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row>
    <row r="82" spans="1:29"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row>
    <row r="83" spans="1:29"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row>
    <row r="84" spans="1:29"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row>
    <row r="85" spans="1:29"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row>
    <row r="86" spans="1:29"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row>
    <row r="87" spans="1:29"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row>
    <row r="88" spans="1:29"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row>
    <row r="89" spans="1:29"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row>
    <row r="90" spans="1:29"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row>
    <row r="91" spans="1:29"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row>
    <row r="92" spans="1:29"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row>
    <row r="93" spans="1:29"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row>
    <row r="94" spans="1:29"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row>
    <row r="95" spans="1:29"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row>
    <row r="96" spans="1:29"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row>
    <row r="97" spans="1:29"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row>
    <row r="98" spans="1:29"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row>
    <row r="99" spans="1:29"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row>
    <row r="100" spans="1:29"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row>
    <row r="101" spans="1:29" x14ac:dyDescent="0.3">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row>
    <row r="102" spans="1:29" x14ac:dyDescent="0.3">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row>
    <row r="103" spans="1:29" x14ac:dyDescent="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row>
    <row r="104" spans="1:29" x14ac:dyDescent="0.3">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row>
  </sheetData>
  <conditionalFormatting sqref="R19:V38">
    <cfRule type="dataBar" priority="1">
      <dataBar>
        <cfvo type="num" val="0"/>
        <cfvo type="formula" val="MAX($R$19:$V$38)*2"/>
        <color theme="1"/>
      </dataBar>
      <extLst>
        <ext xmlns:x14="http://schemas.microsoft.com/office/spreadsheetml/2009/9/main" uri="{B025F937-C7B1-47D3-B67F-A62EFF666E3E}">
          <x14:id>{15B1263E-3AA9-4BA5-9CA8-01B3E95776FB}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5B1263E-3AA9-4BA5-9CA8-01B3E95776FB}">
            <x14:dataBar minLength="0" maxLength="100" border="1" negativeBarBorderColorSameAsPositive="0">
              <x14:cfvo type="num">
                <xm:f>0</xm:f>
              </x14:cfvo>
              <x14:cfvo type="formula">
                <xm:f>MAX($R$19:$V$38)*2</xm:f>
              </x14:cfvo>
              <x14:borderColor rgb="FF638EC6"/>
              <x14:negativeFillColor rgb="FFFF0000"/>
              <x14:negativeBorderColor rgb="FFFF0000"/>
              <x14:axisColor rgb="FF000000"/>
            </x14:dataBar>
          </x14:cfRule>
          <xm:sqref>R19:V38</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AN1003"/>
  <sheetViews>
    <sheetView topLeftCell="B4" zoomScale="115" zoomScaleNormal="115" workbookViewId="0">
      <selection activeCell="C7" sqref="C7"/>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40"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40"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40"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40"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c r="AN36" s="20"/>
    </row>
    <row r="37" spans="2:40"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40"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40"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40"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40"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40"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40"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40"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40"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40"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40"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40"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3" sqref="F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#VALUE!</v>
      </c>
    </row>
    <row r="4" spans="5:6" ht="25.5" customHeight="1" x14ac:dyDescent="0.3">
      <c r="E4" t="s">
        <v>9</v>
      </c>
      <c r="F4" t="e">
        <v>#VALUE!</v>
      </c>
    </row>
    <row r="5" spans="5:6" ht="25.5" customHeight="1" x14ac:dyDescent="0.3">
      <c r="E5" t="s">
        <v>6</v>
      </c>
      <c r="F5" t="e">
        <v>#VALUE!</v>
      </c>
    </row>
    <row r="6" spans="5:6" ht="25.5" customHeight="1" x14ac:dyDescent="0.3">
      <c r="E6" t="s">
        <v>13</v>
      </c>
      <c r="F6" t="e">
        <v>#VALUE!</v>
      </c>
    </row>
    <row r="7" spans="5:6" ht="25.5" customHeight="1" x14ac:dyDescent="0.3">
      <c r="E7" t="s">
        <v>10</v>
      </c>
      <c r="F7" t="e">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Sheet1</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C.PRASHANTH KUMAR</cp:lastModifiedBy>
  <dcterms:created xsi:type="dcterms:W3CDTF">2021-03-14T20:21:32Z</dcterms:created>
  <dcterms:modified xsi:type="dcterms:W3CDTF">2025-11-03T16:01:39Z</dcterms:modified>
</cp:coreProperties>
</file>